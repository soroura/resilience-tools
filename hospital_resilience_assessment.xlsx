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essmen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</cols>
  <sheetData>
    <row r="1">
      <c r="A1" s="1" t="inlineStr">
        <is>
          <t>Hospital Resilience Self-Assessment Tool</t>
        </is>
      </c>
    </row>
    <row r="2">
      <c r="A2" t="inlineStr">
        <is>
          <t>Based on: Resilient Hospitals - Inter-regional Guidance for Strengthening Resilience to Health Emergencies and Disasters</t>
        </is>
      </c>
    </row>
    <row r="3">
      <c r="A3" t="inlineStr"/>
    </row>
    <row r="4">
      <c r="A4" s="2" t="inlineStr">
        <is>
          <t>SCORING SYSTEM</t>
        </is>
      </c>
    </row>
    <row r="5">
      <c r="A5" s="3" t="inlineStr">
        <is>
          <t>Status</t>
        </is>
      </c>
      <c r="B5" s="3" t="inlineStr">
        <is>
          <t>Score</t>
        </is>
      </c>
      <c r="C5" s="3" t="inlineStr">
        <is>
          <t>Description</t>
        </is>
      </c>
    </row>
    <row r="6">
      <c r="A6" t="inlineStr">
        <is>
          <t>Not Started</t>
        </is>
      </c>
      <c r="B6" t="inlineStr">
        <is>
          <t>0</t>
        </is>
      </c>
      <c r="C6" t="inlineStr">
        <is>
          <t>No action taken, not implemented</t>
        </is>
      </c>
    </row>
    <row r="7">
      <c r="A7" t="inlineStr">
        <is>
          <t>Partial</t>
        </is>
      </c>
      <c r="B7" t="inlineStr">
        <is>
          <t>0.5</t>
        </is>
      </c>
      <c r="C7" t="inlineStr">
        <is>
          <t>In progress, partially implemented, or needs improvement</t>
        </is>
      </c>
    </row>
    <row r="8">
      <c r="A8" t="inlineStr">
        <is>
          <t>Completed</t>
        </is>
      </c>
      <c r="B8" t="inlineStr">
        <is>
          <t>1</t>
        </is>
      </c>
      <c r="C8" t="inlineStr">
        <is>
          <t>Fully implemented and regularly maintained</t>
        </is>
      </c>
    </row>
    <row r="9">
      <c r="A9" t="inlineStr"/>
    </row>
    <row r="10">
      <c r="A10" s="2" t="inlineStr">
        <is>
          <t>HOW TO USE THIS TOOL</t>
        </is>
      </c>
    </row>
    <row r="11">
      <c r="A11" t="inlineStr">
        <is>
          <t>1. Go to the 'Assessment' sheet</t>
        </is>
      </c>
    </row>
    <row r="12">
      <c r="A12" t="inlineStr">
        <is>
          <t>2. For each item, select a status from the dropdown in the 'Status' column</t>
        </is>
      </c>
    </row>
    <row r="13">
      <c r="A13" t="inlineStr">
        <is>
          <t>3. The score will be calculated automatically</t>
        </is>
      </c>
    </row>
    <row r="14">
      <c r="A14" t="inlineStr">
        <is>
          <t>4. Review the 'Evidence of Compliance' column for guidance on what documentation to look for</t>
        </is>
      </c>
    </row>
    <row r="15">
      <c r="A15" t="inlineStr">
        <is>
          <t>5. Add notes in the 'Notes/Comments' column as needed</t>
        </is>
      </c>
    </row>
    <row r="16">
      <c r="A16" t="inlineStr">
        <is>
          <t>6. View the 'Summary' sheet for overall scores and gaps</t>
        </is>
      </c>
    </row>
    <row r="17">
      <c r="A17" t="inlineStr"/>
    </row>
    <row r="18">
      <c r="A18" s="2" t="inlineStr">
        <is>
          <t>SCORE INTERPRETATION</t>
        </is>
      </c>
    </row>
    <row r="19">
      <c r="A19" s="3" t="inlineStr">
        <is>
          <t>Score Range</t>
        </is>
      </c>
      <c r="B19" s="3" t="inlineStr">
        <is>
          <t>Rating</t>
        </is>
      </c>
      <c r="C19" s="3" t="inlineStr">
        <is>
          <t>Interpretation</t>
        </is>
      </c>
    </row>
    <row r="20">
      <c r="A20" t="inlineStr">
        <is>
          <t>0-25%</t>
        </is>
      </c>
      <c r="B20" t="inlineStr">
        <is>
          <t>Critical</t>
        </is>
      </c>
      <c r="C20" t="inlineStr">
        <is>
          <t>Hospital is highly vulnerable. Immediate action required.</t>
        </is>
      </c>
    </row>
    <row r="21">
      <c r="A21" t="inlineStr">
        <is>
          <t>25-50%</t>
        </is>
      </c>
      <c r="B21" t="inlineStr">
        <is>
          <t>Developing</t>
        </is>
      </c>
      <c r="C21" t="inlineStr">
        <is>
          <t>Basic elements in place. Focus on filling major gaps.</t>
        </is>
      </c>
    </row>
    <row r="22">
      <c r="A22" t="inlineStr">
        <is>
          <t>50-75%</t>
        </is>
      </c>
      <c r="B22" t="inlineStr">
        <is>
          <t>Progressing</t>
        </is>
      </c>
      <c r="C22" t="inlineStr">
        <is>
          <t>Good foundation. Continue building capabilities.</t>
        </is>
      </c>
    </row>
    <row r="23">
      <c r="A23" t="inlineStr">
        <is>
          <t>75-90%</t>
        </is>
      </c>
      <c r="B23" t="inlineStr">
        <is>
          <t>Advanced</t>
        </is>
      </c>
      <c r="C23" t="inlineStr">
        <is>
          <t>Strong resilience framework. Focus on refinement.</t>
        </is>
      </c>
    </row>
    <row r="24">
      <c r="A24" t="inlineStr">
        <is>
          <t>90-100%</t>
        </is>
      </c>
      <c r="B24" t="inlineStr">
        <is>
          <t>Exemplary</t>
        </is>
      </c>
      <c r="C24" t="inlineStr">
        <is>
          <t>Comprehensive resilience achieved. Maintain and share best practices.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65" customWidth="1" min="4" max="4"/>
    <col width="14" customWidth="1" min="5" max="5"/>
    <col width="8" customWidth="1" min="6" max="6"/>
    <col width="55" customWidth="1" min="7" max="7"/>
    <col width="30" customWidth="1" min="8" max="8"/>
  </cols>
  <sheetData>
    <row r="1">
      <c r="A1" s="4" t="inlineStr">
        <is>
          <t>#</t>
        </is>
      </c>
      <c r="B1" s="4" t="inlineStr">
        <is>
          <t>Phase</t>
        </is>
      </c>
      <c r="C1" s="4" t="inlineStr">
        <is>
          <t>Section</t>
        </is>
      </c>
      <c r="D1" s="4" t="inlineStr">
        <is>
          <t>Component</t>
        </is>
      </c>
      <c r="E1" s="4" t="inlineStr">
        <is>
          <t>Status</t>
        </is>
      </c>
      <c r="F1" s="4" t="inlineStr">
        <is>
          <t>Score</t>
        </is>
      </c>
      <c r="G1" s="4" t="inlineStr">
        <is>
          <t>Evidence of Compliance</t>
        </is>
      </c>
      <c r="H1" s="4" t="inlineStr">
        <is>
          <t>Notes/Comments</t>
        </is>
      </c>
    </row>
    <row r="2">
      <c r="A2" s="5" t="inlineStr">
        <is>
          <t>1.1.1</t>
        </is>
      </c>
      <c r="B2" s="6" t="inlineStr">
        <is>
          <t>BEFORE</t>
        </is>
      </c>
      <c r="C2" s="5" t="inlineStr">
        <is>
          <t>1.1 Strategic Risk Assessment</t>
        </is>
      </c>
      <c r="D2" s="5" t="inlineStr">
        <is>
          <t>Hospital has conducted a comprehensive hazard identification and risk assessment (HIRA)</t>
        </is>
      </c>
      <c r="E2" s="5" t="inlineStr"/>
      <c r="F2" s="5">
        <f>IF(E2="Completed",1,IF(E2="Partial",0.5,0))</f>
        <v/>
      </c>
      <c r="G2" s="5" t="inlineStr">
        <is>
          <t>Documented HIRA report; risk register; hazard maps; vulnerability assessment dated within last 2 years</t>
        </is>
      </c>
      <c r="H2" s="5" t="inlineStr"/>
    </row>
    <row r="3">
      <c r="A3" s="5" t="inlineStr">
        <is>
          <t>1.1.2</t>
        </is>
      </c>
      <c r="B3" s="6" t="inlineStr">
        <is>
          <t>BEFORE</t>
        </is>
      </c>
      <c r="C3" s="5" t="inlineStr">
        <is>
          <t>1.1 Strategic Risk Assessment</t>
        </is>
      </c>
      <c r="D3" s="5" t="inlineStr">
        <is>
          <t>Risk assessment is based on historical data, community risks, and hospital vulnerability analysis</t>
        </is>
      </c>
      <c r="E3" s="5" t="inlineStr"/>
      <c r="F3" s="5">
        <f>IF(E3="Completed",1,IF(E3="Partial",0.5,0))</f>
        <v/>
      </c>
      <c r="G3" s="5" t="inlineStr">
        <is>
          <t>Historical incident records; community risk profile; demographic data analysis; local government hazard data</t>
        </is>
      </c>
      <c r="H3" s="5" t="inlineStr"/>
    </row>
    <row r="4">
      <c r="A4" s="5" t="inlineStr">
        <is>
          <t>1.1.3</t>
        </is>
      </c>
      <c r="B4" s="6" t="inlineStr">
        <is>
          <t>BEFORE</t>
        </is>
      </c>
      <c r="C4" s="5" t="inlineStr">
        <is>
          <t>1.1 Strategic Risk Assessment</t>
        </is>
      </c>
      <c r="D4" s="5" t="inlineStr">
        <is>
          <t>Hospital has a documented risk profile covering natural, technological, biological, and societal hazards</t>
        </is>
      </c>
      <c r="E4" s="5" t="inlineStr"/>
      <c r="F4" s="5">
        <f>IF(E4="Completed",1,IF(E4="Partial",0.5,0))</f>
        <v/>
      </c>
      <c r="G4" s="5" t="inlineStr">
        <is>
          <t>Comprehensive risk profile document addressing all four hazard categories; risk matrix showing likelihood and impact</t>
        </is>
      </c>
      <c r="H4" s="5" t="inlineStr"/>
    </row>
    <row r="5">
      <c r="A5" s="5" t="inlineStr">
        <is>
          <t>1.1.4</t>
        </is>
      </c>
      <c r="B5" s="6" t="inlineStr">
        <is>
          <t>BEFORE</t>
        </is>
      </c>
      <c r="C5" s="5" t="inlineStr">
        <is>
          <t>1.1 Strategic Risk Assessment</t>
        </is>
      </c>
      <c r="D5" s="5" t="inlineStr">
        <is>
          <t>Risk assessment is updated at least annually or after significant events</t>
        </is>
      </c>
      <c r="E5" s="5" t="inlineStr"/>
      <c r="F5" s="5">
        <f>IF(E5="Completed",1,IF(E5="Partial",0.5,0))</f>
        <v/>
      </c>
      <c r="G5" s="5" t="inlineStr">
        <is>
          <t>Dated revision history; annual review meeting minutes; post-incident update records</t>
        </is>
      </c>
      <c r="H5" s="5" t="inlineStr"/>
    </row>
    <row r="6">
      <c r="A6" s="5" t="inlineStr">
        <is>
          <t>1.1.5</t>
        </is>
      </c>
      <c r="B6" s="6" t="inlineStr">
        <is>
          <t>BEFORE</t>
        </is>
      </c>
      <c r="C6" s="5" t="inlineStr">
        <is>
          <t>1.1 Strategic Risk Assessment</t>
        </is>
      </c>
      <c r="D6" s="5" t="inlineStr">
        <is>
          <t>Risk assessment findings are communicated to hospital leadership and relevant departments</t>
        </is>
      </c>
      <c r="E6" s="5" t="inlineStr"/>
      <c r="F6" s="5">
        <f>IF(E6="Completed",1,IF(E6="Partial",0.5,0))</f>
        <v/>
      </c>
      <c r="G6" s="5" t="inlineStr">
        <is>
          <t>Leadership briefing records; department head meeting minutes; risk communication memos</t>
        </is>
      </c>
      <c r="H6" s="5" t="inlineStr"/>
    </row>
    <row r="7">
      <c r="A7" s="5" t="inlineStr">
        <is>
          <t>1.1.6</t>
        </is>
      </c>
      <c r="B7" s="6" t="inlineStr">
        <is>
          <t>BEFORE</t>
        </is>
      </c>
      <c r="C7" s="5" t="inlineStr">
        <is>
          <t>1.1 Strategic Risk Assessment</t>
        </is>
      </c>
      <c r="D7" s="5" t="inlineStr">
        <is>
          <t>Strategic plans incorporate risk-informed decision making</t>
        </is>
      </c>
      <c r="E7" s="5" t="inlineStr"/>
      <c r="F7" s="5">
        <f>IF(E7="Completed",1,IF(E7="Partial",0.5,0))</f>
        <v/>
      </c>
      <c r="G7" s="5" t="inlineStr">
        <is>
          <t>Strategic plan with risk considerations; budget allocations for risk mitigation</t>
        </is>
      </c>
      <c r="H7" s="5" t="inlineStr"/>
    </row>
    <row r="8">
      <c r="A8" s="5" t="inlineStr">
        <is>
          <t>1.2.1</t>
        </is>
      </c>
      <c r="B8" s="6" t="inlineStr">
        <is>
          <t>BEFORE</t>
        </is>
      </c>
      <c r="C8" s="5" t="inlineStr">
        <is>
          <t>1.2 Risk Reduction - SPACE</t>
        </is>
      </c>
      <c r="D8" s="5" t="inlineStr">
        <is>
          <t>Hospital has completed the Hospital Safety Index (HSI) assessment</t>
        </is>
      </c>
      <c r="E8" s="5" t="inlineStr"/>
      <c r="F8" s="5">
        <f>IF(E8="Completed",1,IF(E8="Partial",0.5,0))</f>
        <v/>
      </c>
      <c r="G8" s="5" t="inlineStr">
        <is>
          <t>Completed HSI evaluation form; HSI score report; action plan based on HSI findings</t>
        </is>
      </c>
      <c r="H8" s="5" t="inlineStr"/>
    </row>
    <row r="9">
      <c r="A9" s="5" t="inlineStr">
        <is>
          <t>1.2.2</t>
        </is>
      </c>
      <c r="B9" s="6" t="inlineStr">
        <is>
          <t>BEFORE</t>
        </is>
      </c>
      <c r="C9" s="5" t="inlineStr">
        <is>
          <t>1.2 Risk Reduction - SPACE</t>
        </is>
      </c>
      <c r="D9" s="5" t="inlineStr">
        <is>
          <t>Structural mitigation measures are implemented based on building vulnerability assessment</t>
        </is>
      </c>
      <c r="E9" s="5" t="inlineStr"/>
      <c r="F9" s="5">
        <f>IF(E9="Completed",1,IF(E9="Partial",0.5,0))</f>
        <v/>
      </c>
      <c r="G9" s="5" t="inlineStr">
        <is>
          <t>Structural engineering report; seismic/wind retrofitting records; building reinforcement documentation</t>
        </is>
      </c>
      <c r="H9" s="5" t="inlineStr"/>
    </row>
    <row r="10">
      <c r="A10" s="5" t="inlineStr">
        <is>
          <t>1.2.3</t>
        </is>
      </c>
      <c r="B10" s="6" t="inlineStr">
        <is>
          <t>BEFORE</t>
        </is>
      </c>
      <c r="C10" s="5" t="inlineStr">
        <is>
          <t>1.2 Risk Reduction - SPACE</t>
        </is>
      </c>
      <c r="D10" s="5" t="inlineStr">
        <is>
          <t>Non-structural elements (equipment, utilities, architectural) are secured against hazards</t>
        </is>
      </c>
      <c r="E10" s="5" t="inlineStr"/>
      <c r="F10" s="5">
        <f>IF(E10="Completed",1,IF(E10="Partial",0.5,0))</f>
        <v/>
      </c>
      <c r="G10" s="5" t="inlineStr">
        <is>
          <t>Equipment anchoring records; utility protection measures; ceiling/partition securing</t>
        </is>
      </c>
      <c r="H10" s="5" t="inlineStr"/>
    </row>
    <row r="11">
      <c r="A11" s="5" t="inlineStr">
        <is>
          <t>1.2.4</t>
        </is>
      </c>
      <c r="B11" s="6" t="inlineStr">
        <is>
          <t>BEFORE</t>
        </is>
      </c>
      <c r="C11" s="5" t="inlineStr">
        <is>
          <t>1.2 Risk Reduction - SPACE</t>
        </is>
      </c>
      <c r="D11" s="5" t="inlineStr">
        <is>
          <t>Hospital meets accessibility standards for persons with disabilities</t>
        </is>
      </c>
      <c r="E11" s="5" t="inlineStr"/>
      <c r="F11" s="5">
        <f>IF(E11="Completed",1,IF(E11="Partial",0.5,0))</f>
        <v/>
      </c>
      <c r="G11" s="5" t="inlineStr">
        <is>
          <t>Accessibility audit report; ramps and elevators functional; accessible signage</t>
        </is>
      </c>
      <c r="H11" s="5" t="inlineStr"/>
    </row>
    <row r="12">
      <c r="A12" s="5" t="inlineStr">
        <is>
          <t>1.2.5</t>
        </is>
      </c>
      <c r="B12" s="6" t="inlineStr">
        <is>
          <t>BEFORE</t>
        </is>
      </c>
      <c r="C12" s="5" t="inlineStr">
        <is>
          <t>1.2 Risk Reduction - SPACE</t>
        </is>
      </c>
      <c r="D12" s="5" t="inlineStr">
        <is>
          <t>Critical infrastructure (power, water, HVAC, medical gases) has redundancy/backup systems</t>
        </is>
      </c>
      <c r="E12" s="5" t="inlineStr"/>
      <c r="F12" s="5">
        <f>IF(E12="Completed",1,IF(E12="Partial",0.5,0))</f>
        <v/>
      </c>
      <c r="G12" s="5" t="inlineStr">
        <is>
          <t>Backup generator test logs; water storage capacity records; UPS systems documentation</t>
        </is>
      </c>
      <c r="H12" s="5" t="inlineStr"/>
    </row>
    <row r="13">
      <c r="A13" s="5" t="inlineStr">
        <is>
          <t>1.2.6</t>
        </is>
      </c>
      <c r="B13" s="6" t="inlineStr">
        <is>
          <t>BEFORE</t>
        </is>
      </c>
      <c r="C13" s="5" t="inlineStr">
        <is>
          <t>1.2 Risk Reduction - SPACE</t>
        </is>
      </c>
      <c r="D13" s="5" t="inlineStr">
        <is>
          <t>Hospital has implemented green/sustainable infrastructure measures</t>
        </is>
      </c>
      <c r="E13" s="5" t="inlineStr"/>
      <c r="F13" s="5">
        <f>IF(E13="Completed",1,IF(E13="Partial",0.5,0))</f>
        <v/>
      </c>
      <c r="G13" s="5" t="inlineStr">
        <is>
          <t>Solar/renewable energy installations; water recycling systems; SMART hospital assessment</t>
        </is>
      </c>
      <c r="H13" s="5" t="inlineStr"/>
    </row>
    <row r="14">
      <c r="A14" s="5" t="inlineStr">
        <is>
          <t>1.2.7</t>
        </is>
      </c>
      <c r="B14" s="6" t="inlineStr">
        <is>
          <t>BEFORE</t>
        </is>
      </c>
      <c r="C14" s="5" t="inlineStr">
        <is>
          <t>1.2 Risk Reduction - SPACE</t>
        </is>
      </c>
      <c r="D14" s="5" t="inlineStr">
        <is>
          <t>Fire safety systems are installed, maintained, and regularly tested</t>
        </is>
      </c>
      <c r="E14" s="5" t="inlineStr"/>
      <c r="F14" s="5">
        <f>IF(E14="Completed",1,IF(E14="Partial",0.5,0))</f>
        <v/>
      </c>
      <c r="G14" s="5" t="inlineStr">
        <is>
          <t>Fire alarm test records; sprinkler inspection logs; fire extinguisher maintenance</t>
        </is>
      </c>
      <c r="H14" s="5" t="inlineStr"/>
    </row>
    <row r="15">
      <c r="A15" s="5" t="inlineStr">
        <is>
          <t>1.2.8</t>
        </is>
      </c>
      <c r="B15" s="6" t="inlineStr">
        <is>
          <t>BEFORE</t>
        </is>
      </c>
      <c r="C15" s="5" t="inlineStr">
        <is>
          <t>1.2 Risk Reduction - SPACE</t>
        </is>
      </c>
      <c r="D15" s="5" t="inlineStr">
        <is>
          <t>Evacuation routes are clearly marked and accessible</t>
        </is>
      </c>
      <c r="E15" s="5" t="inlineStr"/>
      <c r="F15" s="5">
        <f>IF(E15="Completed",1,IF(E15="Partial",0.5,0))</f>
        <v/>
      </c>
      <c r="G15" s="5" t="inlineStr">
        <is>
          <t>Evacuation route maps posted; illuminated exit signs; evacuation drill records</t>
        </is>
      </c>
      <c r="H15" s="5" t="inlineStr"/>
    </row>
    <row r="16">
      <c r="A16" s="5" t="inlineStr">
        <is>
          <t>1.3.1</t>
        </is>
      </c>
      <c r="B16" s="6" t="inlineStr">
        <is>
          <t>BEFORE</t>
        </is>
      </c>
      <c r="C16" s="5" t="inlineStr">
        <is>
          <t>1.3 Risk Reduction - SYSTEMS</t>
        </is>
      </c>
      <c r="D16" s="5" t="inlineStr">
        <is>
          <t>Multi-disciplinary disaster management committee is established and functional</t>
        </is>
      </c>
      <c r="E16" s="5" t="inlineStr"/>
      <c r="F16" s="5">
        <f>IF(E16="Completed",1,IF(E16="Partial",0.5,0))</f>
        <v/>
      </c>
      <c r="G16" s="5" t="inlineStr">
        <is>
          <t>Committee charter; membership list; meeting minutes (quarterly minimum)</t>
        </is>
      </c>
      <c r="H16" s="5" t="inlineStr"/>
    </row>
    <row r="17">
      <c r="A17" s="5" t="inlineStr">
        <is>
          <t>1.3.2</t>
        </is>
      </c>
      <c r="B17" s="6" t="inlineStr">
        <is>
          <t>BEFORE</t>
        </is>
      </c>
      <c r="C17" s="5" t="inlineStr">
        <is>
          <t>1.3 Risk Reduction - SYSTEMS</t>
        </is>
      </c>
      <c r="D17" s="5" t="inlineStr">
        <is>
          <t>Hospital accreditation system includes emergency management standards</t>
        </is>
      </c>
      <c r="E17" s="5" t="inlineStr"/>
      <c r="F17" s="5">
        <f>IF(E17="Completed",1,IF(E17="Partial",0.5,0))</f>
        <v/>
      </c>
      <c r="G17" s="5" t="inlineStr">
        <is>
          <t>Accreditation certificate; emergency management compliance checklist</t>
        </is>
      </c>
      <c r="H17" s="5" t="inlineStr"/>
    </row>
    <row r="18">
      <c r="A18" s="5" t="inlineStr">
        <is>
          <t>1.3.3</t>
        </is>
      </c>
      <c r="B18" s="6" t="inlineStr">
        <is>
          <t>BEFORE</t>
        </is>
      </c>
      <c r="C18" s="5" t="inlineStr">
        <is>
          <t>1.3 Risk Reduction - SYSTEMS</t>
        </is>
      </c>
      <c r="D18" s="5" t="inlineStr">
        <is>
          <t>Hospital Information Management System (HIMS) is operational for emergencies</t>
        </is>
      </c>
      <c r="E18" s="5" t="inlineStr"/>
      <c r="F18" s="5">
        <f>IF(E18="Completed",1,IF(E18="Partial",0.5,0))</f>
        <v/>
      </c>
      <c r="G18" s="5" t="inlineStr">
        <is>
          <t>HIMS documentation; backup/recovery procedures; real-time data access capability</t>
        </is>
      </c>
      <c r="H18" s="5" t="inlineStr"/>
    </row>
    <row r="19">
      <c r="A19" s="5" t="inlineStr">
        <is>
          <t>1.3.4</t>
        </is>
      </c>
      <c r="B19" s="6" t="inlineStr">
        <is>
          <t>BEFORE</t>
        </is>
      </c>
      <c r="C19" s="5" t="inlineStr">
        <is>
          <t>1.3 Risk Reduction - SYSTEMS</t>
        </is>
      </c>
      <c r="D19" s="5" t="inlineStr">
        <is>
          <t>Risk communication and community engagement (RCCE) is integrated into operations</t>
        </is>
      </c>
      <c r="E19" s="5" t="inlineStr"/>
      <c r="F19" s="5">
        <f>IF(E19="Completed",1,IF(E19="Partial",0.5,0))</f>
        <v/>
      </c>
      <c r="G19" s="5" t="inlineStr">
        <is>
          <t>RCCE strategy document; community outreach records; public awareness materials</t>
        </is>
      </c>
      <c r="H19" s="5" t="inlineStr"/>
    </row>
    <row r="20">
      <c r="A20" s="5" t="inlineStr">
        <is>
          <t>1.3.5</t>
        </is>
      </c>
      <c r="B20" s="6" t="inlineStr">
        <is>
          <t>BEFORE</t>
        </is>
      </c>
      <c r="C20" s="5" t="inlineStr">
        <is>
          <t>1.3 Risk Reduction - SYSTEMS</t>
        </is>
      </c>
      <c r="D20" s="5" t="inlineStr">
        <is>
          <t>Hospital has linkages with local emergency management authorities</t>
        </is>
      </c>
      <c r="E20" s="5" t="inlineStr"/>
      <c r="F20" s="5">
        <f>IF(E20="Completed",1,IF(E20="Partial",0.5,0))</f>
        <v/>
      </c>
      <c r="G20" s="5" t="inlineStr">
        <is>
          <t>MOUs with local authorities; joint meeting minutes; contact lists</t>
        </is>
      </c>
      <c r="H20" s="5" t="inlineStr"/>
    </row>
    <row r="21">
      <c r="A21" s="5" t="inlineStr">
        <is>
          <t>1.3.6</t>
        </is>
      </c>
      <c r="B21" s="6" t="inlineStr">
        <is>
          <t>BEFORE</t>
        </is>
      </c>
      <c r="C21" s="5" t="inlineStr">
        <is>
          <t>1.3 Risk Reduction - SYSTEMS</t>
        </is>
      </c>
      <c r="D21" s="5" t="inlineStr">
        <is>
          <t>Business development plans include continuity and resilience considerations</t>
        </is>
      </c>
      <c r="E21" s="5" t="inlineStr"/>
      <c r="F21" s="5">
        <f>IF(E21="Completed",1,IF(E21="Partial",0.5,0))</f>
        <v/>
      </c>
      <c r="G21" s="5" t="inlineStr">
        <is>
          <t>Business continuity section in development plan; resilience budget allocation</t>
        </is>
      </c>
      <c r="H21" s="5" t="inlineStr"/>
    </row>
    <row r="22">
      <c r="A22" s="5" t="inlineStr">
        <is>
          <t>1.3.7</t>
        </is>
      </c>
      <c r="B22" s="6" t="inlineStr">
        <is>
          <t>BEFORE</t>
        </is>
      </c>
      <c r="C22" s="5" t="inlineStr">
        <is>
          <t>1.3 Risk Reduction - SYSTEMS</t>
        </is>
      </c>
      <c r="D22" s="5" t="inlineStr">
        <is>
          <t>Routine emergency and support services are documented and standardized</t>
        </is>
      </c>
      <c r="E22" s="5" t="inlineStr"/>
      <c r="F22" s="5">
        <f>IF(E22="Completed",1,IF(E22="Partial",0.5,0))</f>
        <v/>
      </c>
      <c r="G22" s="5" t="inlineStr">
        <is>
          <t>Standard operating procedures (SOPs); emergency service protocols</t>
        </is>
      </c>
      <c r="H22" s="5" t="inlineStr"/>
    </row>
    <row r="23">
      <c r="A23" s="5" t="inlineStr">
        <is>
          <t>1.3.8</t>
        </is>
      </c>
      <c r="B23" s="6" t="inlineStr">
        <is>
          <t>BEFORE</t>
        </is>
      </c>
      <c r="C23" s="5" t="inlineStr">
        <is>
          <t>1.3 Risk Reduction - SYSTEMS</t>
        </is>
      </c>
      <c r="D23" s="5" t="inlineStr">
        <is>
          <t>Capacity development plans include HEDRM competencies</t>
        </is>
      </c>
      <c r="E23" s="5" t="inlineStr"/>
      <c r="F23" s="5">
        <f>IF(E23="Completed",1,IF(E23="Partial",0.5,0))</f>
        <v/>
      </c>
      <c r="G23" s="5" t="inlineStr">
        <is>
          <t>Training curriculum with HEDRM modules; competency framework</t>
        </is>
      </c>
      <c r="H23" s="5" t="inlineStr"/>
    </row>
    <row r="24">
      <c r="A24" s="5" t="inlineStr">
        <is>
          <t>1.4.1</t>
        </is>
      </c>
      <c r="B24" s="6" t="inlineStr">
        <is>
          <t>BEFORE</t>
        </is>
      </c>
      <c r="C24" s="5" t="inlineStr">
        <is>
          <t>1.4 Risk Reduction - STUFF</t>
        </is>
      </c>
      <c r="D24" s="5" t="inlineStr">
        <is>
          <t>Preventive maintenance program is established for critical equipment</t>
        </is>
      </c>
      <c r="E24" s="5" t="inlineStr"/>
      <c r="F24" s="5">
        <f>IF(E24="Completed",1,IF(E24="Partial",0.5,0))</f>
        <v/>
      </c>
      <c r="G24" s="5" t="inlineStr">
        <is>
          <t>Maintenance schedule; equipment inspection logs; technician reports</t>
        </is>
      </c>
      <c r="H24" s="5" t="inlineStr"/>
    </row>
    <row r="25">
      <c r="A25" s="5" t="inlineStr">
        <is>
          <t>1.4.2</t>
        </is>
      </c>
      <c r="B25" s="6" t="inlineStr">
        <is>
          <t>BEFORE</t>
        </is>
      </c>
      <c r="C25" s="5" t="inlineStr">
        <is>
          <t>1.4 Risk Reduction - STUFF</t>
        </is>
      </c>
      <c r="D25" s="5" t="inlineStr">
        <is>
          <t>Supply chain management system can track inventory in real-time</t>
        </is>
      </c>
      <c r="E25" s="5" t="inlineStr"/>
      <c r="F25" s="5">
        <f>IF(E25="Completed",1,IF(E25="Partial",0.5,0))</f>
        <v/>
      </c>
      <c r="G25" s="5" t="inlineStr">
        <is>
          <t>Inventory management software; real-time tracking capability; stock level reports</t>
        </is>
      </c>
      <c r="H25" s="5" t="inlineStr"/>
    </row>
    <row r="26">
      <c r="A26" s="5" t="inlineStr">
        <is>
          <t>1.4.3</t>
        </is>
      </c>
      <c r="B26" s="6" t="inlineStr">
        <is>
          <t>BEFORE</t>
        </is>
      </c>
      <c r="C26" s="5" t="inlineStr">
        <is>
          <t>1.4 Risk Reduction - STUFF</t>
        </is>
      </c>
      <c r="D26" s="5" t="inlineStr">
        <is>
          <t>Procurement logistics system supports emergency purchasing</t>
        </is>
      </c>
      <c r="E26" s="5" t="inlineStr"/>
      <c r="F26" s="5">
        <f>IF(E26="Completed",1,IF(E26="Partial",0.5,0))</f>
        <v/>
      </c>
      <c r="G26" s="5" t="inlineStr">
        <is>
          <t>Emergency procurement policy; expedited purchase procedures; pre-approved vendor list</t>
        </is>
      </c>
      <c r="H26" s="5" t="inlineStr"/>
    </row>
    <row r="27">
      <c r="A27" s="5" t="inlineStr">
        <is>
          <t>1.4.4</t>
        </is>
      </c>
      <c r="B27" s="6" t="inlineStr">
        <is>
          <t>BEFORE</t>
        </is>
      </c>
      <c r="C27" s="5" t="inlineStr">
        <is>
          <t>1.4 Risk Reduction - STUFF</t>
        </is>
      </c>
      <c r="D27" s="5" t="inlineStr">
        <is>
          <t>Healthcare financial management includes reserves for emergency response</t>
        </is>
      </c>
      <c r="E27" s="5" t="inlineStr"/>
      <c r="F27" s="5">
        <f>IF(E27="Completed",1,IF(E27="Partial",0.5,0))</f>
        <v/>
      </c>
      <c r="G27" s="5" t="inlineStr">
        <is>
          <t>Emergency fund allocation in budget; reserve fund balance sheet</t>
        </is>
      </c>
      <c r="H27" s="5" t="inlineStr"/>
    </row>
    <row r="28">
      <c r="A28" s="5" t="inlineStr">
        <is>
          <t>1.4.5</t>
        </is>
      </c>
      <c r="B28" s="6" t="inlineStr">
        <is>
          <t>BEFORE</t>
        </is>
      </c>
      <c r="C28" s="5" t="inlineStr">
        <is>
          <t>1.4 Risk Reduction - STUFF</t>
        </is>
      </c>
      <c r="D28" s="5" t="inlineStr">
        <is>
          <t>Centralized purchasing system is in place for inventory control</t>
        </is>
      </c>
      <c r="E28" s="5" t="inlineStr"/>
      <c r="F28" s="5">
        <f>IF(E28="Completed",1,IF(E28="Partial",0.5,0))</f>
        <v/>
      </c>
      <c r="G28" s="5" t="inlineStr">
        <is>
          <t>Central procurement office; purchase order system; inventory control procedures</t>
        </is>
      </c>
      <c r="H28" s="5" t="inlineStr"/>
    </row>
    <row r="29">
      <c r="A29" s="5" t="inlineStr">
        <is>
          <t>1.4.6</t>
        </is>
      </c>
      <c r="B29" s="6" t="inlineStr">
        <is>
          <t>BEFORE</t>
        </is>
      </c>
      <c r="C29" s="5" t="inlineStr">
        <is>
          <t>1.4 Risk Reduction - STUFF</t>
        </is>
      </c>
      <c r="D29" s="5" t="inlineStr">
        <is>
          <t>Digital inventory management system with barcode/tracking is operational</t>
        </is>
      </c>
      <c r="E29" s="5" t="inlineStr"/>
      <c r="F29" s="5">
        <f>IF(E29="Completed",1,IF(E29="Partial",0.5,0))</f>
        <v/>
      </c>
      <c r="G29" s="5" t="inlineStr">
        <is>
          <t>Barcode/RFID system; digital tracking software; inventory accuracy reports</t>
        </is>
      </c>
      <c r="H29" s="5" t="inlineStr"/>
    </row>
    <row r="30">
      <c r="A30" s="5" t="inlineStr">
        <is>
          <t>1.5.1</t>
        </is>
      </c>
      <c r="B30" s="6" t="inlineStr">
        <is>
          <t>BEFORE</t>
        </is>
      </c>
      <c r="C30" s="5" t="inlineStr">
        <is>
          <t>1.5 Risk Reduction - STAFF</t>
        </is>
      </c>
      <c r="D30" s="5" t="inlineStr">
        <is>
          <t>HEDRM is integrated into routine HR development strategies and plans</t>
        </is>
      </c>
      <c r="E30" s="5" t="inlineStr"/>
      <c r="F30" s="5">
        <f>IF(E30="Completed",1,IF(E30="Partial",0.5,0))</f>
        <v/>
      </c>
      <c r="G30" s="5" t="inlineStr">
        <is>
          <t>HR strategic plan with HEDRM section; training budget for HEDRM</t>
        </is>
      </c>
      <c r="H30" s="5" t="inlineStr"/>
    </row>
    <row r="31">
      <c r="A31" s="5" t="inlineStr">
        <is>
          <t>1.5.2</t>
        </is>
      </c>
      <c r="B31" s="6" t="inlineStr">
        <is>
          <t>BEFORE</t>
        </is>
      </c>
      <c r="C31" s="5" t="inlineStr">
        <is>
          <t>1.5 Risk Reduction - STAFF</t>
        </is>
      </c>
      <c r="D31" s="5" t="inlineStr">
        <is>
          <t>Staff competency assessment for HEDRM has been conducted</t>
        </is>
      </c>
      <c r="E31" s="5" t="inlineStr"/>
      <c r="F31" s="5">
        <f>IF(E31="Completed",1,IF(E31="Partial",0.5,0))</f>
        <v/>
      </c>
      <c r="G31" s="5" t="inlineStr">
        <is>
          <t>Competency assessment results; skills gap analysis</t>
        </is>
      </c>
      <c r="H31" s="5" t="inlineStr"/>
    </row>
    <row r="32">
      <c r="A32" s="5" t="inlineStr">
        <is>
          <t>1.5.3</t>
        </is>
      </c>
      <c r="B32" s="6" t="inlineStr">
        <is>
          <t>BEFORE</t>
        </is>
      </c>
      <c r="C32" s="5" t="inlineStr">
        <is>
          <t>1.5 Risk Reduction - STAFF</t>
        </is>
      </c>
      <c r="D32" s="5" t="inlineStr">
        <is>
          <t>HEDRM training programs are developed and implemented</t>
        </is>
      </c>
      <c r="E32" s="5" t="inlineStr"/>
      <c r="F32" s="5">
        <f>IF(E32="Completed",1,IF(E32="Partial",0.5,0))</f>
        <v/>
      </c>
      <c r="G32" s="5" t="inlineStr">
        <is>
          <t>Training curriculum; training calendar; attendance records</t>
        </is>
      </c>
      <c r="H32" s="5" t="inlineStr"/>
    </row>
    <row r="33">
      <c r="A33" s="5" t="inlineStr">
        <is>
          <t>1.5.4</t>
        </is>
      </c>
      <c r="B33" s="6" t="inlineStr">
        <is>
          <t>BEFORE</t>
        </is>
      </c>
      <c r="C33" s="5" t="inlineStr">
        <is>
          <t>1.5 Risk Reduction - STAFF</t>
        </is>
      </c>
      <c r="D33" s="5" t="inlineStr">
        <is>
          <t>Job descriptions include HEDRM-related competencies</t>
        </is>
      </c>
      <c r="E33" s="5" t="inlineStr"/>
      <c r="F33" s="5">
        <f>IF(E33="Completed",1,IF(E33="Partial",0.5,0))</f>
        <v/>
      </c>
      <c r="G33" s="5" t="inlineStr">
        <is>
          <t>Updated job descriptions; HEDRM responsibilities listed</t>
        </is>
      </c>
      <c r="H33" s="5" t="inlineStr"/>
    </row>
    <row r="34">
      <c r="A34" s="5" t="inlineStr">
        <is>
          <t>1.5.5</t>
        </is>
      </c>
      <c r="B34" s="6" t="inlineStr">
        <is>
          <t>BEFORE</t>
        </is>
      </c>
      <c r="C34" s="5" t="inlineStr">
        <is>
          <t>1.5 Risk Reduction - STAFF</t>
        </is>
      </c>
      <c r="D34" s="5" t="inlineStr">
        <is>
          <t>Staff contacts directory is maintained and regularly updated</t>
        </is>
      </c>
      <c r="E34" s="5" t="inlineStr"/>
      <c r="F34" s="5">
        <f>IF(E34="Completed",1,IF(E34="Partial",0.5,0))</f>
        <v/>
      </c>
      <c r="G34" s="5" t="inlineStr">
        <is>
          <t>Current contact database; quarterly update records</t>
        </is>
      </c>
      <c r="H34" s="5" t="inlineStr"/>
    </row>
    <row r="35">
      <c r="A35" s="5" t="inlineStr">
        <is>
          <t>1.5.6</t>
        </is>
      </c>
      <c r="B35" s="6" t="inlineStr">
        <is>
          <t>BEFORE</t>
        </is>
      </c>
      <c r="C35" s="5" t="inlineStr">
        <is>
          <t>1.5 Risk Reduction - STAFF</t>
        </is>
      </c>
      <c r="D35" s="5" t="inlineStr">
        <is>
          <t>New staff orientation includes HEDRM roles and responsibilities</t>
        </is>
      </c>
      <c r="E35" s="5" t="inlineStr"/>
      <c r="F35" s="5">
        <f>IF(E35="Completed",1,IF(E35="Partial",0.5,0))</f>
        <v/>
      </c>
      <c r="G35" s="5" t="inlineStr">
        <is>
          <t>Orientation checklist with HEDRM items; new staff acknowledgment forms</t>
        </is>
      </c>
      <c r="H35" s="5" t="inlineStr"/>
    </row>
    <row r="36">
      <c r="A36" s="5" t="inlineStr">
        <is>
          <t>1.6.1</t>
        </is>
      </c>
      <c r="B36" s="6" t="inlineStr">
        <is>
          <t>BEFORE</t>
        </is>
      </c>
      <c r="C36" s="5" t="inlineStr">
        <is>
          <t>1.6 Preparedness - SPACE</t>
        </is>
      </c>
      <c r="D36" s="5" t="inlineStr">
        <is>
          <t>Critical operational areas are pre-identified (triage, decon, EOC, evacuation)</t>
        </is>
      </c>
      <c r="E36" s="5" t="inlineStr"/>
      <c r="F36" s="5">
        <f>IF(E36="Completed",1,IF(E36="Partial",0.5,0))</f>
        <v/>
      </c>
      <c r="G36" s="5" t="inlineStr">
        <is>
          <t>Facility maps with marked areas; area designation documents; signage in place</t>
        </is>
      </c>
      <c r="H36" s="5" t="inlineStr"/>
    </row>
    <row r="37">
      <c r="A37" s="5" t="inlineStr">
        <is>
          <t>1.6.2</t>
        </is>
      </c>
      <c r="B37" s="6" t="inlineStr">
        <is>
          <t>BEFORE</t>
        </is>
      </c>
      <c r="C37" s="5" t="inlineStr">
        <is>
          <t>1.6 Preparedness - SPACE</t>
        </is>
      </c>
      <c r="D37" s="5" t="inlineStr">
        <is>
          <t>Signage and color markings identify operational areas for mass casualty response</t>
        </is>
      </c>
      <c r="E37" s="5" t="inlineStr"/>
      <c r="F37" s="5">
        <f>IF(E37="Completed",1,IF(E37="Partial",0.5,0))</f>
        <v/>
      </c>
      <c r="G37" s="5" t="inlineStr">
        <is>
          <t>Color-coded signs installed; triage area markings; directional signs</t>
        </is>
      </c>
      <c r="H37" s="5" t="inlineStr"/>
    </row>
    <row r="38">
      <c r="A38" s="5" t="inlineStr">
        <is>
          <t>1.6.3</t>
        </is>
      </c>
      <c r="B38" s="6" t="inlineStr">
        <is>
          <t>BEFORE</t>
        </is>
      </c>
      <c r="C38" s="5" t="inlineStr">
        <is>
          <t>1.6 Preparedness - SPACE</t>
        </is>
      </c>
      <c r="D38" s="5" t="inlineStr">
        <is>
          <t>Spaces for surge capacity are identified (corridors, auditorium, gymnasium)</t>
        </is>
      </c>
      <c r="E38" s="5" t="inlineStr"/>
      <c r="F38" s="5">
        <f>IF(E38="Completed",1,IF(E38="Partial",0.5,0))</f>
        <v/>
      </c>
      <c r="G38" s="5" t="inlineStr">
        <is>
          <t>Surge space inventory list; conversion protocols; utility access points</t>
        </is>
      </c>
      <c r="H38" s="5" t="inlineStr"/>
    </row>
    <row r="39">
      <c r="A39" s="5" t="inlineStr">
        <is>
          <t>1.6.4</t>
        </is>
      </c>
      <c r="B39" s="6" t="inlineStr">
        <is>
          <t>BEFORE</t>
        </is>
      </c>
      <c r="C39" s="5" t="inlineStr">
        <is>
          <t>1.6 Preparedness - SPACE</t>
        </is>
      </c>
      <c r="D39" s="5" t="inlineStr">
        <is>
          <t>Step-down facilities are identified with necessary provisions</t>
        </is>
      </c>
      <c r="E39" s="5" t="inlineStr"/>
      <c r="F39" s="5">
        <f>IF(E39="Completed",1,IF(E39="Partial",0.5,0))</f>
        <v/>
      </c>
      <c r="G39" s="5" t="inlineStr">
        <is>
          <t>List of step-down facilities; MOUs with facilities; staffing plans</t>
        </is>
      </c>
      <c r="H39" s="5" t="inlineStr"/>
    </row>
    <row r="40">
      <c r="A40" s="5" t="inlineStr">
        <is>
          <t>1.6.5</t>
        </is>
      </c>
      <c r="B40" s="6" t="inlineStr">
        <is>
          <t>BEFORE</t>
        </is>
      </c>
      <c r="C40" s="5" t="inlineStr">
        <is>
          <t>1.6 Preparedness - SPACE</t>
        </is>
      </c>
      <c r="D40" s="5" t="inlineStr">
        <is>
          <t>Patient cohorting areas are designated for infectious disease outbreaks</t>
        </is>
      </c>
      <c r="E40" s="5" t="inlineStr"/>
      <c r="F40" s="5">
        <f>IF(E40="Completed",1,IF(E40="Partial",0.5,0))</f>
        <v/>
      </c>
      <c r="G40" s="5" t="inlineStr">
        <is>
          <t>Isolation ward designation; negative pressure room availability</t>
        </is>
      </c>
      <c r="H40" s="5" t="inlineStr"/>
    </row>
    <row r="41">
      <c r="A41" s="5" t="inlineStr">
        <is>
          <t>1.7.1</t>
        </is>
      </c>
      <c r="B41" s="6" t="inlineStr">
        <is>
          <t>BEFORE</t>
        </is>
      </c>
      <c r="C41" s="5" t="inlineStr">
        <is>
          <t>1.7 Preparedness - STRATEGIES</t>
        </is>
      </c>
      <c r="D41" s="5" t="inlineStr">
        <is>
          <t>Emergency Preparedness Program is established with workplan and budget</t>
        </is>
      </c>
      <c r="E41" s="5" t="inlineStr"/>
      <c r="F41" s="5">
        <f>IF(E41="Completed",1,IF(E41="Partial",0.5,0))</f>
        <v/>
      </c>
      <c r="G41" s="5" t="inlineStr">
        <is>
          <t>Program charter; annual workplan; dedicated budget line; emergency manager appointment</t>
        </is>
      </c>
      <c r="H41" s="5" t="inlineStr"/>
    </row>
    <row r="42">
      <c r="A42" s="5" t="inlineStr">
        <is>
          <t>1.7.2</t>
        </is>
      </c>
      <c r="B42" s="6" t="inlineStr">
        <is>
          <t>BEFORE</t>
        </is>
      </c>
      <c r="C42" s="5" t="inlineStr">
        <is>
          <t>1.7 Preparedness - STRATEGIES</t>
        </is>
      </c>
      <c r="D42" s="5" t="inlineStr">
        <is>
          <t>Service Continuity Plan identifies critical services and alternative care sites</t>
        </is>
      </c>
      <c r="E42" s="5" t="inlineStr"/>
      <c r="F42" s="5">
        <f>IF(E42="Completed",1,IF(E42="Partial",0.5,0))</f>
        <v/>
      </c>
      <c r="G42" s="5" t="inlineStr">
        <is>
          <t>Service continuity plan document; critical services list; alternative site agreements</t>
        </is>
      </c>
      <c r="H42" s="5" t="inlineStr"/>
    </row>
    <row r="43">
      <c r="A43" s="5" t="inlineStr">
        <is>
          <t>1.7.3</t>
        </is>
      </c>
      <c r="B43" s="6" t="inlineStr">
        <is>
          <t>BEFORE</t>
        </is>
      </c>
      <c r="C43" s="5" t="inlineStr">
        <is>
          <t>1.7 Preparedness - STRATEGIES</t>
        </is>
      </c>
      <c r="D43" s="5" t="inlineStr">
        <is>
          <t>All-Hazards Hospital Emergency Response Plan is developed and approved</t>
        </is>
      </c>
      <c r="E43" s="5" t="inlineStr"/>
      <c r="F43" s="5">
        <f>IF(E43="Completed",1,IF(E43="Partial",0.5,0))</f>
        <v/>
      </c>
      <c r="G43" s="5" t="inlineStr">
        <is>
          <t>Approved ERP document; management sign-off; distribution list</t>
        </is>
      </c>
      <c r="H43" s="5" t="inlineStr"/>
    </row>
    <row r="44">
      <c r="A44" s="5" t="inlineStr">
        <is>
          <t>1.7.4</t>
        </is>
      </c>
      <c r="B44" s="6" t="inlineStr">
        <is>
          <t>BEFORE</t>
        </is>
      </c>
      <c r="C44" s="5" t="inlineStr">
        <is>
          <t>1.7 Preparedness - STRATEGIES</t>
        </is>
      </c>
      <c r="D44" s="5" t="inlineStr">
        <is>
          <t>Hospital Incident Management Team (HIMT) is established with defined roles</t>
        </is>
      </c>
      <c r="E44" s="5" t="inlineStr"/>
      <c r="F44" s="5">
        <f>IF(E44="Completed",1,IF(E44="Partial",0.5,0))</f>
        <v/>
      </c>
      <c r="G44" s="5" t="inlineStr">
        <is>
          <t>HIMT organizational chart; role assignments; Job Action Sheets</t>
        </is>
      </c>
      <c r="H44" s="5" t="inlineStr"/>
    </row>
    <row r="45">
      <c r="A45" s="5" t="inlineStr">
        <is>
          <t>1.7.5</t>
        </is>
      </c>
      <c r="B45" s="6" t="inlineStr">
        <is>
          <t>BEFORE</t>
        </is>
      </c>
      <c r="C45" s="5" t="inlineStr">
        <is>
          <t>1.7 Preparedness - STRATEGIES</t>
        </is>
      </c>
      <c r="D45" s="5" t="inlineStr">
        <is>
          <t>Hospital Command Center/EOC is designated with required equipment</t>
        </is>
      </c>
      <c r="E45" s="5" t="inlineStr"/>
      <c r="F45" s="5">
        <f>IF(E45="Completed",1,IF(E45="Partial",0.5,0))</f>
        <v/>
      </c>
      <c r="G45" s="5" t="inlineStr">
        <is>
          <t>EOC location designated; equipment inventory; communication systems</t>
        </is>
      </c>
      <c r="H45" s="5" t="inlineStr"/>
    </row>
    <row r="46">
      <c r="A46" s="5" t="inlineStr">
        <is>
          <t>1.7.6</t>
        </is>
      </c>
      <c r="B46" s="6" t="inlineStr">
        <is>
          <t>BEFORE</t>
        </is>
      </c>
      <c r="C46" s="5" t="inlineStr">
        <is>
          <t>1.7 Preparedness - STRATEGIES</t>
        </is>
      </c>
      <c r="D46" s="5" t="inlineStr">
        <is>
          <t>Mass Casualty Management Plan is developed</t>
        </is>
      </c>
      <c r="E46" s="5" t="inlineStr"/>
      <c r="F46" s="5">
        <f>IF(E46="Completed",1,IF(E46="Partial",0.5,0))</f>
        <v/>
      </c>
      <c r="G46" s="5" t="inlineStr">
        <is>
          <t>MCI plan document; triage protocols; surge capacity calculations</t>
        </is>
      </c>
      <c r="H46" s="5" t="inlineStr"/>
    </row>
    <row r="47">
      <c r="A47" s="5" t="inlineStr">
        <is>
          <t>1.7.7</t>
        </is>
      </c>
      <c r="B47" s="6" t="inlineStr">
        <is>
          <t>BEFORE</t>
        </is>
      </c>
      <c r="C47" s="5" t="inlineStr">
        <is>
          <t>1.7 Preparedness - STRATEGIES</t>
        </is>
      </c>
      <c r="D47" s="5" t="inlineStr">
        <is>
          <t>Mass Fatality Management Plan is developed</t>
        </is>
      </c>
      <c r="E47" s="5" t="inlineStr"/>
      <c r="F47" s="5">
        <f>IF(E47="Completed",1,IF(E47="Partial",0.5,0))</f>
        <v/>
      </c>
      <c r="G47" s="5" t="inlineStr">
        <is>
          <t>Fatality management plan; temporary morgue procedures; body identification protocols</t>
        </is>
      </c>
      <c r="H47" s="5" t="inlineStr"/>
    </row>
    <row r="48">
      <c r="A48" s="5" t="inlineStr">
        <is>
          <t>1.7.8</t>
        </is>
      </c>
      <c r="B48" s="6" t="inlineStr">
        <is>
          <t>BEFORE</t>
        </is>
      </c>
      <c r="C48" s="5" t="inlineStr">
        <is>
          <t>1.7 Preparedness - STRATEGIES</t>
        </is>
      </c>
      <c r="D48" s="5" t="inlineStr">
        <is>
          <t>Communicable Disease Outbreak Plan is developed</t>
        </is>
      </c>
      <c r="E48" s="5" t="inlineStr"/>
      <c r="F48" s="5">
        <f>IF(E48="Completed",1,IF(E48="Partial",0.5,0))</f>
        <v/>
      </c>
      <c r="G48" s="5" t="inlineStr">
        <is>
          <t>Outbreak plan document; isolation protocols; PPE guidelines</t>
        </is>
      </c>
      <c r="H48" s="5" t="inlineStr"/>
    </row>
    <row r="49">
      <c r="A49" s="5" t="inlineStr">
        <is>
          <t>1.7.9</t>
        </is>
      </c>
      <c r="B49" s="6" t="inlineStr">
        <is>
          <t>BEFORE</t>
        </is>
      </c>
      <c r="C49" s="5" t="inlineStr">
        <is>
          <t>1.7 Preparedness - STRATEGIES</t>
        </is>
      </c>
      <c r="D49" s="5" t="inlineStr">
        <is>
          <t>Evacuation Plan is developed and tested</t>
        </is>
      </c>
      <c r="E49" s="5" t="inlineStr"/>
      <c r="F49" s="5">
        <f>IF(E49="Completed",1,IF(E49="Partial",0.5,0))</f>
        <v/>
      </c>
      <c r="G49" s="5" t="inlineStr">
        <is>
          <t>Evacuation plan document; patient transport procedures; drill records</t>
        </is>
      </c>
      <c r="H49" s="5" t="inlineStr"/>
    </row>
    <row r="50">
      <c r="A50" s="5" t="inlineStr">
        <is>
          <t>1.7.10</t>
        </is>
      </c>
      <c r="B50" s="6" t="inlineStr">
        <is>
          <t>BEFORE</t>
        </is>
      </c>
      <c r="C50" s="5" t="inlineStr">
        <is>
          <t>1.7 Preparedness - STRATEGIES</t>
        </is>
      </c>
      <c r="D50" s="5" t="inlineStr">
        <is>
          <t>Hospital plans are linked with local/national emergency management plans</t>
        </is>
      </c>
      <c r="E50" s="5" t="inlineStr"/>
      <c r="F50" s="5">
        <f>IF(E50="Completed",1,IF(E50="Partial",0.5,0))</f>
        <v/>
      </c>
      <c r="G50" s="5" t="inlineStr">
        <is>
          <t>Coordination agreements; plan alignment documentation</t>
        </is>
      </c>
      <c r="H50" s="5" t="inlineStr"/>
    </row>
    <row r="51">
      <c r="A51" s="5" t="inlineStr">
        <is>
          <t>1.7.11</t>
        </is>
      </c>
      <c r="B51" s="6" t="inlineStr">
        <is>
          <t>BEFORE</t>
        </is>
      </c>
      <c r="C51" s="5" t="inlineStr">
        <is>
          <t>1.7 Preparedness - STRATEGIES</t>
        </is>
      </c>
      <c r="D51" s="5" t="inlineStr">
        <is>
          <t>MOUs with partner hospitals are established</t>
        </is>
      </c>
      <c r="E51" s="5" t="inlineStr"/>
      <c r="F51" s="5">
        <f>IF(E51="Completed",1,IF(E51="Partial",0.5,0))</f>
        <v/>
      </c>
      <c r="G51" s="5" t="inlineStr">
        <is>
          <t>Signed MOUs; resource sharing agreements; mutual aid protocols</t>
        </is>
      </c>
      <c r="H51" s="5" t="inlineStr"/>
    </row>
    <row r="52">
      <c r="A52" s="5" t="inlineStr">
        <is>
          <t>1.7.12</t>
        </is>
      </c>
      <c r="B52" s="6" t="inlineStr">
        <is>
          <t>BEFORE</t>
        </is>
      </c>
      <c r="C52" s="5" t="inlineStr">
        <is>
          <t>1.7 Preparedness - STRATEGIES</t>
        </is>
      </c>
      <c r="D52" s="5" t="inlineStr">
        <is>
          <t>Plans are reviewed and updated at least annually</t>
        </is>
      </c>
      <c r="E52" s="5" t="inlineStr"/>
      <c r="F52" s="5">
        <f>IF(E52="Completed",1,IF(E52="Partial",0.5,0))</f>
        <v/>
      </c>
      <c r="G52" s="5" t="inlineStr">
        <is>
          <t>Plan revision history; annual review meeting minutes</t>
        </is>
      </c>
      <c r="H52" s="5" t="inlineStr"/>
    </row>
    <row r="53">
      <c r="A53" s="5" t="inlineStr">
        <is>
          <t>1.8.1</t>
        </is>
      </c>
      <c r="B53" s="6" t="inlineStr">
        <is>
          <t>BEFORE</t>
        </is>
      </c>
      <c r="C53" s="5" t="inlineStr">
        <is>
          <t>1.8 Preparedness - SYSTEMS</t>
        </is>
      </c>
      <c r="D53" s="5" t="inlineStr">
        <is>
          <t>Community engagement mechanisms are established for preparedness</t>
        </is>
      </c>
      <c r="E53" s="5" t="inlineStr"/>
      <c r="F53" s="5">
        <f>IF(E53="Completed",1,IF(E53="Partial",0.5,0))</f>
        <v/>
      </c>
      <c r="G53" s="5" t="inlineStr">
        <is>
          <t>Community advisory board; public meetings records; feedback collection system</t>
        </is>
      </c>
      <c r="H53" s="5" t="inlineStr"/>
    </row>
    <row r="54">
      <c r="A54" s="5" t="inlineStr">
        <is>
          <t>1.8.2</t>
        </is>
      </c>
      <c r="B54" s="6" t="inlineStr">
        <is>
          <t>BEFORE</t>
        </is>
      </c>
      <c r="C54" s="5" t="inlineStr">
        <is>
          <t>1.8 Preparedness - SYSTEMS</t>
        </is>
      </c>
      <c r="D54" s="5" t="inlineStr">
        <is>
          <t>Risk communication protocols are developed for various scenarios</t>
        </is>
      </c>
      <c r="E54" s="5" t="inlineStr"/>
      <c r="F54" s="5">
        <f>IF(E54="Completed",1,IF(E54="Partial",0.5,0))</f>
        <v/>
      </c>
      <c r="G54" s="5" t="inlineStr">
        <is>
          <t>Risk communication plan; message templates; spokesperson designation</t>
        </is>
      </c>
      <c r="H54" s="5" t="inlineStr"/>
    </row>
    <row r="55">
      <c r="A55" s="5" t="inlineStr">
        <is>
          <t>1.8.3</t>
        </is>
      </c>
      <c r="B55" s="6" t="inlineStr">
        <is>
          <t>BEFORE</t>
        </is>
      </c>
      <c r="C55" s="5" t="inlineStr">
        <is>
          <t>1.8 Preparedness - SYSTEMS</t>
        </is>
      </c>
      <c r="D55" s="5" t="inlineStr">
        <is>
          <t>Early warning systems are linked to hospital operations</t>
        </is>
      </c>
      <c r="E55" s="5" t="inlineStr"/>
      <c r="F55" s="5">
        <f>IF(E55="Completed",1,IF(E55="Partial",0.5,0))</f>
        <v/>
      </c>
      <c r="G55" s="5" t="inlineStr">
        <is>
          <t>Early warning subscription; alert notification system; monitoring protocols</t>
        </is>
      </c>
      <c r="H55" s="5" t="inlineStr"/>
    </row>
    <row r="56">
      <c r="A56" s="5" t="inlineStr">
        <is>
          <t>1.8.4</t>
        </is>
      </c>
      <c r="B56" s="6" t="inlineStr">
        <is>
          <t>BEFORE</t>
        </is>
      </c>
      <c r="C56" s="5" t="inlineStr">
        <is>
          <t>1.8 Preparedness - SYSTEMS</t>
        </is>
      </c>
      <c r="D56" s="5" t="inlineStr">
        <is>
          <t>Emergency communication systems are established and tested</t>
        </is>
      </c>
      <c r="E56" s="5" t="inlineStr"/>
      <c r="F56" s="5">
        <f>IF(E56="Completed",1,IF(E56="Partial",0.5,0))</f>
        <v/>
      </c>
      <c r="G56" s="5" t="inlineStr">
        <is>
          <t>Communication equipment inventory; backup systems; test logs</t>
        </is>
      </c>
      <c r="H56" s="5" t="inlineStr"/>
    </row>
    <row r="57">
      <c r="A57" s="5" t="inlineStr">
        <is>
          <t>1.8.5</t>
        </is>
      </c>
      <c r="B57" s="6" t="inlineStr">
        <is>
          <t>BEFORE</t>
        </is>
      </c>
      <c r="C57" s="5" t="inlineStr">
        <is>
          <t>1.8 Preparedness - SYSTEMS</t>
        </is>
      </c>
      <c r="D57" s="5" t="inlineStr">
        <is>
          <t>Drills and exercises are conducted regularly (at least annually)</t>
        </is>
      </c>
      <c r="E57" s="5" t="inlineStr"/>
      <c r="F57" s="5">
        <f>IF(E57="Completed",1,IF(E57="Partial",0.5,0))</f>
        <v/>
      </c>
      <c r="G57" s="5" t="inlineStr">
        <is>
          <t>Exercise schedule; drill reports; participation records</t>
        </is>
      </c>
      <c r="H57" s="5" t="inlineStr"/>
    </row>
    <row r="58">
      <c r="A58" s="5" t="inlineStr">
        <is>
          <t>1.8.6</t>
        </is>
      </c>
      <c r="B58" s="6" t="inlineStr">
        <is>
          <t>BEFORE</t>
        </is>
      </c>
      <c r="C58" s="5" t="inlineStr">
        <is>
          <t>1.8 Preparedness - SYSTEMS</t>
        </is>
      </c>
      <c r="D58" s="5" t="inlineStr">
        <is>
          <t>Tabletop, functional, and full-scale exercises are conducted</t>
        </is>
      </c>
      <c r="E58" s="5" t="inlineStr"/>
      <c r="F58" s="5">
        <f>IF(E58="Completed",1,IF(E58="Partial",0.5,0))</f>
        <v/>
      </c>
      <c r="G58" s="5" t="inlineStr">
        <is>
          <t>Exercise variety documentation; evaluation reports; improvement plans</t>
        </is>
      </c>
      <c r="H58" s="5" t="inlineStr"/>
    </row>
    <row r="59">
      <c r="A59" s="5" t="inlineStr">
        <is>
          <t>1.9.1</t>
        </is>
      </c>
      <c r="B59" s="6" t="inlineStr">
        <is>
          <t>BEFORE</t>
        </is>
      </c>
      <c r="C59" s="5" t="inlineStr">
        <is>
          <t>1.9 Preparedness - STUFF</t>
        </is>
      </c>
      <c r="D59" s="5" t="inlineStr">
        <is>
          <t>Emergency stockpile of medicines and supplies is maintained</t>
        </is>
      </c>
      <c r="E59" s="5" t="inlineStr"/>
      <c r="F59" s="5">
        <f>IF(E59="Completed",1,IF(E59="Partial",0.5,0))</f>
        <v/>
      </c>
      <c r="G59" s="5" t="inlineStr">
        <is>
          <t>Stockpile inventory list; expiration tracking; storage conditions monitoring</t>
        </is>
      </c>
      <c r="H59" s="5" t="inlineStr"/>
    </row>
    <row r="60">
      <c r="A60" s="5" t="inlineStr">
        <is>
          <t>1.9.2</t>
        </is>
      </c>
      <c r="B60" s="6" t="inlineStr">
        <is>
          <t>BEFORE</t>
        </is>
      </c>
      <c r="C60" s="5" t="inlineStr">
        <is>
          <t>1.9 Preparedness - STUFF</t>
        </is>
      </c>
      <c r="D60" s="5" t="inlineStr">
        <is>
          <t>Stock and inventory management system for emergency supplies is operational</t>
        </is>
      </c>
      <c r="E60" s="5" t="inlineStr"/>
      <c r="F60" s="5">
        <f>IF(E60="Completed",1,IF(E60="Partial",0.5,0))</f>
        <v/>
      </c>
      <c r="G60" s="5" t="inlineStr">
        <is>
          <t>Inventory management system; stock reports; reorder alerts</t>
        </is>
      </c>
      <c r="H60" s="5" t="inlineStr"/>
    </row>
    <row r="61">
      <c r="A61" s="5" t="inlineStr">
        <is>
          <t>1.9.3</t>
        </is>
      </c>
      <c r="B61" s="6" t="inlineStr">
        <is>
          <t>BEFORE</t>
        </is>
      </c>
      <c r="C61" s="5" t="inlineStr">
        <is>
          <t>1.9 Preparedness - STUFF</t>
        </is>
      </c>
      <c r="D61" s="5" t="inlineStr">
        <is>
          <t>Procurement system for emergency medicines and supplies is established</t>
        </is>
      </c>
      <c r="E61" s="5" t="inlineStr"/>
      <c r="F61" s="5">
        <f>IF(E61="Completed",1,IF(E61="Partial",0.5,0))</f>
        <v/>
      </c>
      <c r="G61" s="5" t="inlineStr">
        <is>
          <t>Emergency procurement SOP; pre-approved supplier list</t>
        </is>
      </c>
      <c r="H61" s="5" t="inlineStr"/>
    </row>
    <row r="62">
      <c r="A62" s="5" t="inlineStr">
        <is>
          <t>1.9.4</t>
        </is>
      </c>
      <c r="B62" s="6" t="inlineStr">
        <is>
          <t>BEFORE</t>
        </is>
      </c>
      <c r="C62" s="5" t="inlineStr">
        <is>
          <t>1.9 Preparedness - STUFF</t>
        </is>
      </c>
      <c r="D62" s="5" t="inlineStr">
        <is>
          <t>Vendor and service agreements for emergency supplies are in place</t>
        </is>
      </c>
      <c r="E62" s="5" t="inlineStr"/>
      <c r="F62" s="5">
        <f>IF(E62="Completed",1,IF(E62="Partial",0.5,0))</f>
        <v/>
      </c>
      <c r="G62" s="5" t="inlineStr">
        <is>
          <t>Signed vendor agreements; emergency supply contracts</t>
        </is>
      </c>
      <c r="H62" s="5" t="inlineStr"/>
    </row>
    <row r="63">
      <c r="A63" s="5" t="inlineStr">
        <is>
          <t>1.9.5</t>
        </is>
      </c>
      <c r="B63" s="6" t="inlineStr">
        <is>
          <t>BEFORE</t>
        </is>
      </c>
      <c r="C63" s="5" t="inlineStr">
        <is>
          <t>1.9 Preparedness - STUFF</t>
        </is>
      </c>
      <c r="D63" s="5" t="inlineStr">
        <is>
          <t>Emergency flexible and sustainable finance mechanisms are established</t>
        </is>
      </c>
      <c r="E63" s="5" t="inlineStr"/>
      <c r="F63" s="5">
        <f>IF(E63="Completed",1,IF(E63="Partial",0.5,0))</f>
        <v/>
      </c>
      <c r="G63" s="5" t="inlineStr">
        <is>
          <t>Emergency fund policy; petty cash/imprest account</t>
        </is>
      </c>
      <c r="H63" s="5" t="inlineStr"/>
    </row>
    <row r="64">
      <c r="A64" s="5" t="inlineStr">
        <is>
          <t>1.9.6</t>
        </is>
      </c>
      <c r="B64" s="6" t="inlineStr">
        <is>
          <t>BEFORE</t>
        </is>
      </c>
      <c r="C64" s="5" t="inlineStr">
        <is>
          <t>1.9 Preparedness - STUFF</t>
        </is>
      </c>
      <c r="D64" s="5" t="inlineStr">
        <is>
          <t>Personal Protective Equipment (PPE) stockpile is maintained</t>
        </is>
      </c>
      <c r="E64" s="5" t="inlineStr"/>
      <c r="F64" s="5">
        <f>IF(E64="Completed",1,IF(E64="Partial",0.5,0))</f>
        <v/>
      </c>
      <c r="G64" s="5" t="inlineStr">
        <is>
          <t>PPE inventory list; storage conditions; expiration dates tracked</t>
        </is>
      </c>
      <c r="H64" s="5" t="inlineStr"/>
    </row>
    <row r="65">
      <c r="A65" s="5" t="inlineStr">
        <is>
          <t>1.9.7</t>
        </is>
      </c>
      <c r="B65" s="6" t="inlineStr">
        <is>
          <t>BEFORE</t>
        </is>
      </c>
      <c r="C65" s="5" t="inlineStr">
        <is>
          <t>1.9 Preparedness - STUFF</t>
        </is>
      </c>
      <c r="D65" s="5" t="inlineStr">
        <is>
          <t>Emergency communication equipment is available and tested</t>
        </is>
      </c>
      <c r="E65" s="5" t="inlineStr"/>
      <c r="F65" s="5">
        <f>IF(E65="Completed",1,IF(E65="Partial",0.5,0))</f>
        <v/>
      </c>
      <c r="G65" s="5" t="inlineStr">
        <is>
          <t>Radio equipment inventory; satellite phones; test logs</t>
        </is>
      </c>
      <c r="H65" s="5" t="inlineStr"/>
    </row>
    <row r="66">
      <c r="A66" s="5" t="inlineStr">
        <is>
          <t>1.9.8</t>
        </is>
      </c>
      <c r="B66" s="6" t="inlineStr">
        <is>
          <t>BEFORE</t>
        </is>
      </c>
      <c r="C66" s="5" t="inlineStr">
        <is>
          <t>1.9 Preparedness - STUFF</t>
        </is>
      </c>
      <c r="D66" s="5" t="inlineStr">
        <is>
          <t>Triage supplies (tags, ribbons, stretchers) are stocked</t>
        </is>
      </c>
      <c r="E66" s="5" t="inlineStr"/>
      <c r="F66" s="5">
        <f>IF(E66="Completed",1,IF(E66="Partial",0.5,0))</f>
        <v/>
      </c>
      <c r="G66" s="5" t="inlineStr">
        <is>
          <t>Triage tag inventory; stretcher count; first aid supplies</t>
        </is>
      </c>
      <c r="H66" s="5" t="inlineStr"/>
    </row>
    <row r="67">
      <c r="A67" s="5" t="inlineStr">
        <is>
          <t>1.10.1</t>
        </is>
      </c>
      <c r="B67" s="6" t="inlineStr">
        <is>
          <t>BEFORE</t>
        </is>
      </c>
      <c r="C67" s="5" t="inlineStr">
        <is>
          <t>1.10 Preparedness - STAFF</t>
        </is>
      </c>
      <c r="D67" s="5" t="inlineStr">
        <is>
          <t>Staff competencies for emergency response protocols are developed</t>
        </is>
      </c>
      <c r="E67" s="5" t="inlineStr"/>
      <c r="F67" s="5">
        <f>IF(E67="Completed",1,IF(E67="Partial",0.5,0))</f>
        <v/>
      </c>
      <c r="G67" s="5" t="inlineStr">
        <is>
          <t>Competency framework document; skill requirements by role</t>
        </is>
      </c>
      <c r="H67" s="5" t="inlineStr"/>
    </row>
    <row r="68">
      <c r="A68" s="5" t="inlineStr">
        <is>
          <t>1.10.2</t>
        </is>
      </c>
      <c r="B68" s="6" t="inlineStr">
        <is>
          <t>BEFORE</t>
        </is>
      </c>
      <c r="C68" s="5" t="inlineStr">
        <is>
          <t>1.10 Preparedness - STAFF</t>
        </is>
      </c>
      <c r="D68" s="5" t="inlineStr">
        <is>
          <t>Training on response plans and roles is conducted regularly</t>
        </is>
      </c>
      <c r="E68" s="5" t="inlineStr"/>
      <c r="F68" s="5">
        <f>IF(E68="Completed",1,IF(E68="Partial",0.5,0))</f>
        <v/>
      </c>
      <c r="G68" s="5" t="inlineStr">
        <is>
          <t>Training schedule; attendance records; training evaluations</t>
        </is>
      </c>
      <c r="H68" s="5" t="inlineStr"/>
    </row>
    <row r="69">
      <c r="A69" s="5" t="inlineStr">
        <is>
          <t>1.10.3</t>
        </is>
      </c>
      <c r="B69" s="6" t="inlineStr">
        <is>
          <t>BEFORE</t>
        </is>
      </c>
      <c r="C69" s="5" t="inlineStr">
        <is>
          <t>1.10 Preparedness - STAFF</t>
        </is>
      </c>
      <c r="D69" s="5" t="inlineStr">
        <is>
          <t>Human resource mobilization system for emergencies is established</t>
        </is>
      </c>
      <c r="E69" s="5" t="inlineStr"/>
      <c r="F69" s="5">
        <f>IF(E69="Completed",1,IF(E69="Partial",0.5,0))</f>
        <v/>
      </c>
      <c r="G69" s="5" t="inlineStr">
        <is>
          <t>Staff recall policy; notification system; transportation arrangements</t>
        </is>
      </c>
      <c r="H69" s="5" t="inlineStr"/>
    </row>
    <row r="70">
      <c r="A70" s="5" t="inlineStr">
        <is>
          <t>1.10.4</t>
        </is>
      </c>
      <c r="B70" s="6" t="inlineStr">
        <is>
          <t>BEFORE</t>
        </is>
      </c>
      <c r="C70" s="5" t="inlineStr">
        <is>
          <t>1.10 Preparedness - STAFF</t>
        </is>
      </c>
      <c r="D70" s="5" t="inlineStr">
        <is>
          <t>Staff recall/call-tree system is tested regularly</t>
        </is>
      </c>
      <c r="E70" s="5" t="inlineStr"/>
      <c r="F70" s="5">
        <f>IF(E70="Completed",1,IF(E70="Partial",0.5,0))</f>
        <v/>
      </c>
      <c r="G70" s="5" t="inlineStr">
        <is>
          <t>Call-tree documentation; test records with response times</t>
        </is>
      </c>
      <c r="H70" s="5" t="inlineStr"/>
    </row>
    <row r="71">
      <c r="A71" s="5" t="inlineStr">
        <is>
          <t>1.10.5</t>
        </is>
      </c>
      <c r="B71" s="6" t="inlineStr">
        <is>
          <t>BEFORE</t>
        </is>
      </c>
      <c r="C71" s="5" t="inlineStr">
        <is>
          <t>1.10 Preparedness - STAFF</t>
        </is>
      </c>
      <c r="D71" s="5" t="inlineStr">
        <is>
          <t>Volunteer management program is established</t>
        </is>
      </c>
      <c r="E71" s="5" t="inlineStr"/>
      <c r="F71" s="5">
        <f>IF(E71="Completed",1,IF(E71="Partial",0.5,0))</f>
        <v/>
      </c>
      <c r="G71" s="5" t="inlineStr">
        <is>
          <t>Volunteer policy; registration system; training requirements</t>
        </is>
      </c>
      <c r="H71" s="5" t="inlineStr"/>
    </row>
    <row r="72">
      <c r="A72" s="5" t="inlineStr">
        <is>
          <t>1.10.6</t>
        </is>
      </c>
      <c r="B72" s="6" t="inlineStr">
        <is>
          <t>BEFORE</t>
        </is>
      </c>
      <c r="C72" s="5" t="inlineStr">
        <is>
          <t>1.10 Preparedness - STAFF</t>
        </is>
      </c>
      <c r="D72" s="5" t="inlineStr">
        <is>
          <t>Emergency Medical Teams (EMT) coordination mechanisms are in place</t>
        </is>
      </c>
      <c r="E72" s="5" t="inlineStr"/>
      <c r="F72" s="5">
        <f>IF(E72="Completed",1,IF(E72="Partial",0.5,0))</f>
        <v/>
      </c>
      <c r="G72" s="5" t="inlineStr">
        <is>
          <t>EMT coordination protocols; registration with EMT system</t>
        </is>
      </c>
      <c r="H72" s="5" t="inlineStr"/>
    </row>
    <row r="73">
      <c r="A73" s="5" t="inlineStr">
        <is>
          <t>1.10.7</t>
        </is>
      </c>
      <c r="B73" s="6" t="inlineStr">
        <is>
          <t>BEFORE</t>
        </is>
      </c>
      <c r="C73" s="5" t="inlineStr">
        <is>
          <t>1.10 Preparedness - STAFF</t>
        </is>
      </c>
      <c r="D73" s="5" t="inlineStr">
        <is>
          <t>Just-in-time training resources are available</t>
        </is>
      </c>
      <c r="E73" s="5" t="inlineStr"/>
      <c r="F73" s="5">
        <f>IF(E73="Completed",1,IF(E73="Partial",0.5,0))</f>
        <v/>
      </c>
      <c r="G73" s="5" t="inlineStr">
        <is>
          <t>Quick reference guides; video training modules; pocket cards</t>
        </is>
      </c>
      <c r="H73" s="5" t="inlineStr"/>
    </row>
    <row r="74">
      <c r="A74" s="5" t="inlineStr">
        <is>
          <t>1.10.8</t>
        </is>
      </c>
      <c r="B74" s="6" t="inlineStr">
        <is>
          <t>BEFORE</t>
        </is>
      </c>
      <c r="C74" s="5" t="inlineStr">
        <is>
          <t>1.10 Preparedness - STAFF</t>
        </is>
      </c>
      <c r="D74" s="5" t="inlineStr">
        <is>
          <t>Psychological first aid training is provided to staff</t>
        </is>
      </c>
      <c r="E74" s="5" t="inlineStr"/>
      <c r="F74" s="5">
        <f>IF(E74="Completed",1,IF(E74="Partial",0.5,0))</f>
        <v/>
      </c>
      <c r="G74" s="5" t="inlineStr">
        <is>
          <t>PFA training curriculum; training attendance; resource materials</t>
        </is>
      </c>
      <c r="H74" s="5" t="inlineStr"/>
    </row>
    <row r="75">
      <c r="A75" s="5" t="inlineStr">
        <is>
          <t>2.1.1</t>
        </is>
      </c>
      <c r="B75" s="7" t="inlineStr">
        <is>
          <t>DURING</t>
        </is>
      </c>
      <c r="C75" s="5" t="inlineStr">
        <is>
          <t>2.1 Response - SPACE</t>
        </is>
      </c>
      <c r="D75" s="5" t="inlineStr">
        <is>
          <t>Rapid structural damage assessment protocol is in place</t>
        </is>
      </c>
      <c r="E75" s="5" t="inlineStr"/>
      <c r="F75" s="5">
        <f>IF(E75="Completed",1,IF(E75="Partial",0.5,0))</f>
        <v/>
      </c>
      <c r="G75" s="5" t="inlineStr">
        <is>
          <t>Damage assessment checklist; trained assessors; assessment forms</t>
        </is>
      </c>
      <c r="H75" s="5" t="inlineStr"/>
    </row>
    <row r="76">
      <c r="A76" s="5" t="inlineStr">
        <is>
          <t>2.1.2</t>
        </is>
      </c>
      <c r="B76" s="7" t="inlineStr">
        <is>
          <t>DURING</t>
        </is>
      </c>
      <c r="C76" s="5" t="inlineStr">
        <is>
          <t>2.1 Response - SPACE</t>
        </is>
      </c>
      <c r="D76" s="5" t="inlineStr">
        <is>
          <t>Protocol for repurposing hospital spaces during surge is established</t>
        </is>
      </c>
      <c r="E76" s="5" t="inlineStr"/>
      <c r="F76" s="5">
        <f>IF(E76="Completed",1,IF(E76="Partial",0.5,0))</f>
        <v/>
      </c>
      <c r="G76" s="5" t="inlineStr">
        <is>
          <t>Space conversion SOPs; utility hookup procedures; signage kits</t>
        </is>
      </c>
      <c r="H76" s="5" t="inlineStr"/>
    </row>
    <row r="77">
      <c r="A77" s="5" t="inlineStr">
        <is>
          <t>2.1.3</t>
        </is>
      </c>
      <c r="B77" s="7" t="inlineStr">
        <is>
          <t>DURING</t>
        </is>
      </c>
      <c r="C77" s="5" t="inlineStr">
        <is>
          <t>2.1 Response - SPACE</t>
        </is>
      </c>
      <c r="D77" s="5" t="inlineStr">
        <is>
          <t>Infection prevention and control spatial arrangements are implementable</t>
        </is>
      </c>
      <c r="E77" s="5" t="inlineStr"/>
      <c r="F77" s="5">
        <f>IF(E77="Completed",1,IF(E77="Partial",0.5,0))</f>
        <v/>
      </c>
      <c r="G77" s="5" t="inlineStr">
        <is>
          <t>IPC zone maps; airflow management; isolation area setup guides</t>
        </is>
      </c>
      <c r="H77" s="5" t="inlineStr"/>
    </row>
    <row r="78">
      <c r="A78" s="5" t="inlineStr">
        <is>
          <t>2.1.4</t>
        </is>
      </c>
      <c r="B78" s="7" t="inlineStr">
        <is>
          <t>DURING</t>
        </is>
      </c>
      <c r="C78" s="5" t="inlineStr">
        <is>
          <t>2.1 Response - SPACE</t>
        </is>
      </c>
      <c r="D78" s="5" t="inlineStr">
        <is>
          <t>Alternative care site activation protocol is established</t>
        </is>
      </c>
      <c r="E78" s="5" t="inlineStr"/>
      <c r="F78" s="5">
        <f>IF(E78="Completed",1,IF(E78="Partial",0.5,0))</f>
        <v/>
      </c>
      <c r="G78" s="5" t="inlineStr">
        <is>
          <t>Activation criteria; site setup checklists; staffing assignments</t>
        </is>
      </c>
      <c r="H78" s="5" t="inlineStr"/>
    </row>
    <row r="79">
      <c r="A79" s="5" t="inlineStr">
        <is>
          <t>2.2.1</t>
        </is>
      </c>
      <c r="B79" s="7" t="inlineStr">
        <is>
          <t>DURING</t>
        </is>
      </c>
      <c r="C79" s="5" t="inlineStr">
        <is>
          <t>2.2 Response - STRATEGIES</t>
        </is>
      </c>
      <c r="D79" s="5" t="inlineStr">
        <is>
          <t>Protocol for activating All-Hazards Response Plan is established</t>
        </is>
      </c>
      <c r="E79" s="5" t="inlineStr"/>
      <c r="F79" s="5">
        <f>IF(E79="Completed",1,IF(E79="Partial",0.5,0))</f>
        <v/>
      </c>
      <c r="G79" s="5" t="inlineStr">
        <is>
          <t>Activation criteria matrix; notification procedures; authority levels</t>
        </is>
      </c>
      <c r="H79" s="5" t="inlineStr"/>
    </row>
    <row r="80">
      <c r="A80" s="5" t="inlineStr">
        <is>
          <t>2.2.2</t>
        </is>
      </c>
      <c r="B80" s="7" t="inlineStr">
        <is>
          <t>DURING</t>
        </is>
      </c>
      <c r="C80" s="5" t="inlineStr">
        <is>
          <t>2.2 Response - STRATEGIES</t>
        </is>
      </c>
      <c r="D80" s="5" t="inlineStr">
        <is>
          <t>Hospital Incident Management System activation criteria are defined</t>
        </is>
      </c>
      <c r="E80" s="5" t="inlineStr"/>
      <c r="F80" s="5">
        <f>IF(E80="Completed",1,IF(E80="Partial",0.5,0))</f>
        <v/>
      </c>
      <c r="G80" s="5" t="inlineStr">
        <is>
          <t>HIMS activation levels; trigger criteria; scalability procedures</t>
        </is>
      </c>
      <c r="H80" s="5" t="inlineStr"/>
    </row>
    <row r="81">
      <c r="A81" s="5" t="inlineStr">
        <is>
          <t>2.2.3</t>
        </is>
      </c>
      <c r="B81" s="7" t="inlineStr">
        <is>
          <t>DURING</t>
        </is>
      </c>
      <c r="C81" s="5" t="inlineStr">
        <is>
          <t>2.2 Response - STRATEGIES</t>
        </is>
      </c>
      <c r="D81" s="5" t="inlineStr">
        <is>
          <t>Incident Action Planning (IAP) process is established</t>
        </is>
      </c>
      <c r="E81" s="5" t="inlineStr"/>
      <c r="F81" s="5">
        <f>IF(E81="Completed",1,IF(E81="Partial",0.5,0))</f>
        <v/>
      </c>
      <c r="G81" s="5" t="inlineStr">
        <is>
          <t>IAP templates; planning cycle schedule; objective setting procedures</t>
        </is>
      </c>
      <c r="H81" s="5" t="inlineStr"/>
    </row>
    <row r="82">
      <c r="A82" s="5" t="inlineStr">
        <is>
          <t>2.2.4</t>
        </is>
      </c>
      <c r="B82" s="7" t="inlineStr">
        <is>
          <t>DURING</t>
        </is>
      </c>
      <c r="C82" s="5" t="inlineStr">
        <is>
          <t>2.2 Response - STRATEGIES</t>
        </is>
      </c>
      <c r="D82" s="5" t="inlineStr">
        <is>
          <t>Hospital Command Center activation protocol is in place</t>
        </is>
      </c>
      <c r="E82" s="5" t="inlineStr"/>
      <c r="F82" s="5">
        <f>IF(E82="Completed",1,IF(E82="Partial",0.5,0))</f>
        <v/>
      </c>
      <c r="G82" s="5" t="inlineStr">
        <is>
          <t>EOC activation checklist; staffing roster; equipment check</t>
        </is>
      </c>
      <c r="H82" s="5" t="inlineStr"/>
    </row>
    <row r="83">
      <c r="A83" s="5" t="inlineStr">
        <is>
          <t>2.2.5</t>
        </is>
      </c>
      <c r="B83" s="7" t="inlineStr">
        <is>
          <t>DURING</t>
        </is>
      </c>
      <c r="C83" s="5" t="inlineStr">
        <is>
          <t>2.2 Response - STRATEGIES</t>
        </is>
      </c>
      <c r="D83" s="5" t="inlineStr">
        <is>
          <t>Internal and external coordination mechanisms are established</t>
        </is>
      </c>
      <c r="E83" s="5" t="inlineStr"/>
      <c r="F83" s="5">
        <f>IF(E83="Completed",1,IF(E83="Partial",0.5,0))</f>
        <v/>
      </c>
      <c r="G83" s="5" t="inlineStr">
        <is>
          <t>Coordination protocols; liaison assignments; meeting schedules</t>
        </is>
      </c>
      <c r="H83" s="5" t="inlineStr"/>
    </row>
    <row r="84">
      <c r="A84" s="5" t="inlineStr">
        <is>
          <t>2.2.6</t>
        </is>
      </c>
      <c r="B84" s="7" t="inlineStr">
        <is>
          <t>DURING</t>
        </is>
      </c>
      <c r="C84" s="5" t="inlineStr">
        <is>
          <t>2.2 Response - STRATEGIES</t>
        </is>
      </c>
      <c r="D84" s="5" t="inlineStr">
        <is>
          <t>Patient surge protocols are established</t>
        </is>
      </c>
      <c r="E84" s="5" t="inlineStr"/>
      <c r="F84" s="5">
        <f>IF(E84="Completed",1,IF(E84="Partial",0.5,0))</f>
        <v/>
      </c>
      <c r="G84" s="5" t="inlineStr">
        <is>
          <t>Surge capacity plan; trigger levels; bed expansion procedures</t>
        </is>
      </c>
      <c r="H84" s="5" t="inlineStr"/>
    </row>
    <row r="85">
      <c r="A85" s="5" t="inlineStr">
        <is>
          <t>2.2.7</t>
        </is>
      </c>
      <c r="B85" s="7" t="inlineStr">
        <is>
          <t>DURING</t>
        </is>
      </c>
      <c r="C85" s="5" t="inlineStr">
        <is>
          <t>2.2 Response - STRATEGIES</t>
        </is>
      </c>
      <c r="D85" s="5" t="inlineStr">
        <is>
          <t>Crisis standards of care protocols are developed</t>
        </is>
      </c>
      <c r="E85" s="5" t="inlineStr"/>
      <c r="F85" s="5">
        <f>IF(E85="Completed",1,IF(E85="Partial",0.5,0))</f>
        <v/>
      </c>
      <c r="G85" s="5" t="inlineStr">
        <is>
          <t>Crisis standards document; ethical framework; resource allocation criteria</t>
        </is>
      </c>
      <c r="H85" s="5" t="inlineStr"/>
    </row>
    <row r="86">
      <c r="A86" s="5" t="inlineStr">
        <is>
          <t>2.2.8</t>
        </is>
      </c>
      <c r="B86" s="7" t="inlineStr">
        <is>
          <t>DURING</t>
        </is>
      </c>
      <c r="C86" s="5" t="inlineStr">
        <is>
          <t>2.2 Response - STRATEGIES</t>
        </is>
      </c>
      <c r="D86" s="5" t="inlineStr">
        <is>
          <t>Patient transfer/referral protocols are established</t>
        </is>
      </c>
      <c r="E86" s="5" t="inlineStr"/>
      <c r="F86" s="5">
        <f>IF(E86="Completed",1,IF(E86="Partial",0.5,0))</f>
        <v/>
      </c>
      <c r="G86" s="5" t="inlineStr">
        <is>
          <t>Transfer protocols; receiving facility agreements; transportation</t>
        </is>
      </c>
      <c r="H86" s="5" t="inlineStr"/>
    </row>
    <row r="87">
      <c r="A87" s="5" t="inlineStr">
        <is>
          <t>2.3.1</t>
        </is>
      </c>
      <c r="B87" s="7" t="inlineStr">
        <is>
          <t>DURING</t>
        </is>
      </c>
      <c r="C87" s="5" t="inlineStr">
        <is>
          <t>2.3 Response - SYSTEMS</t>
        </is>
      </c>
      <c r="D87" s="5" t="inlineStr">
        <is>
          <t>Early warning monitoring protocols are established</t>
        </is>
      </c>
      <c r="E87" s="5" t="inlineStr"/>
      <c r="F87" s="5">
        <f>IF(E87="Completed",1,IF(E87="Partial",0.5,0))</f>
        <v/>
      </c>
      <c r="G87" s="5" t="inlineStr">
        <is>
          <t>Monitoring procedures; information sources; alert interpretation guides</t>
        </is>
      </c>
      <c r="H87" s="5" t="inlineStr"/>
    </row>
    <row r="88">
      <c r="A88" s="5" t="inlineStr">
        <is>
          <t>2.3.2</t>
        </is>
      </c>
      <c r="B88" s="7" t="inlineStr">
        <is>
          <t>DURING</t>
        </is>
      </c>
      <c r="C88" s="5" t="inlineStr">
        <is>
          <t>2.3 Response - SYSTEMS</t>
        </is>
      </c>
      <c r="D88" s="5" t="inlineStr">
        <is>
          <t>Rapid needs assessment protocol is in place</t>
        </is>
      </c>
      <c r="E88" s="5" t="inlineStr"/>
      <c r="F88" s="5">
        <f>IF(E88="Completed",1,IF(E88="Partial",0.5,0))</f>
        <v/>
      </c>
      <c r="G88" s="5" t="inlineStr">
        <is>
          <t>Assessment forms; data collection procedures; reporting timelines</t>
        </is>
      </c>
      <c r="H88" s="5" t="inlineStr"/>
    </row>
    <row r="89">
      <c r="A89" s="5" t="inlineStr">
        <is>
          <t>2.3.3</t>
        </is>
      </c>
      <c r="B89" s="7" t="inlineStr">
        <is>
          <t>DURING</t>
        </is>
      </c>
      <c r="C89" s="5" t="inlineStr">
        <is>
          <t>2.3 Response - SYSTEMS</t>
        </is>
      </c>
      <c r="D89" s="5" t="inlineStr">
        <is>
          <t>Internal communication protocols during response are established</t>
        </is>
      </c>
      <c r="E89" s="5" t="inlineStr"/>
      <c r="F89" s="5">
        <f>IF(E89="Completed",1,IF(E89="Partial",0.5,0))</f>
        <v/>
      </c>
      <c r="G89" s="5" t="inlineStr">
        <is>
          <t>Communication SOPs; backup systems; message formats</t>
        </is>
      </c>
      <c r="H89" s="5" t="inlineStr"/>
    </row>
    <row r="90">
      <c r="A90" s="5" t="inlineStr">
        <is>
          <t>2.3.4</t>
        </is>
      </c>
      <c r="B90" s="7" t="inlineStr">
        <is>
          <t>DURING</t>
        </is>
      </c>
      <c r="C90" s="5" t="inlineStr">
        <is>
          <t>2.3 Response - SYSTEMS</t>
        </is>
      </c>
      <c r="D90" s="5" t="inlineStr">
        <is>
          <t>External communication protocols (media, public, authorities) are established</t>
        </is>
      </c>
      <c r="E90" s="5" t="inlineStr"/>
      <c r="F90" s="5">
        <f>IF(E90="Completed",1,IF(E90="Partial",0.5,0))</f>
        <v/>
      </c>
      <c r="G90" s="5" t="inlineStr">
        <is>
          <t>Media policy; spokesperson designation; press release templates</t>
        </is>
      </c>
      <c r="H90" s="5" t="inlineStr"/>
    </row>
    <row r="91">
      <c r="A91" s="5" t="inlineStr">
        <is>
          <t>2.3.5</t>
        </is>
      </c>
      <c r="B91" s="7" t="inlineStr">
        <is>
          <t>DURING</t>
        </is>
      </c>
      <c r="C91" s="5" t="inlineStr">
        <is>
          <t>2.3 Response - SYSTEMS</t>
        </is>
      </c>
      <c r="D91" s="5" t="inlineStr">
        <is>
          <t>Situational awareness and information management systems are operational</t>
        </is>
      </c>
      <c r="E91" s="5" t="inlineStr"/>
      <c r="F91" s="5">
        <f>IF(E91="Completed",1,IF(E91="Partial",0.5,0))</f>
        <v/>
      </c>
      <c r="G91" s="5" t="inlineStr">
        <is>
          <t>Information display systems; status boards; reporting dashboards</t>
        </is>
      </c>
      <c r="H91" s="5" t="inlineStr"/>
    </row>
    <row r="92">
      <c r="A92" s="5" t="inlineStr">
        <is>
          <t>2.3.6</t>
        </is>
      </c>
      <c r="B92" s="7" t="inlineStr">
        <is>
          <t>DURING</t>
        </is>
      </c>
      <c r="C92" s="5" t="inlineStr">
        <is>
          <t>2.3 Response - SYSTEMS</t>
        </is>
      </c>
      <c r="D92" s="5" t="inlineStr">
        <is>
          <t>Patient tracking system is operational</t>
        </is>
      </c>
      <c r="E92" s="5" t="inlineStr"/>
      <c r="F92" s="5">
        <f>IF(E92="Completed",1,IF(E92="Partial",0.5,0))</f>
        <v/>
      </c>
      <c r="G92" s="5" t="inlineStr">
        <is>
          <t>Patient tracking software/forms; wristband system; family reunification</t>
        </is>
      </c>
      <c r="H92" s="5" t="inlineStr"/>
    </row>
    <row r="93">
      <c r="A93" s="5" t="inlineStr">
        <is>
          <t>2.3.7</t>
        </is>
      </c>
      <c r="B93" s="7" t="inlineStr">
        <is>
          <t>DURING</t>
        </is>
      </c>
      <c r="C93" s="5" t="inlineStr">
        <is>
          <t>2.3 Response - SYSTEMS</t>
        </is>
      </c>
      <c r="D93" s="5" t="inlineStr">
        <is>
          <t>Infection prevention and control protocols are implementable</t>
        </is>
      </c>
      <c r="E93" s="5" t="inlineStr"/>
      <c r="F93" s="5">
        <f>IF(E93="Completed",1,IF(E93="Partial",0.5,0))</f>
        <v/>
      </c>
      <c r="G93" s="5" t="inlineStr">
        <is>
          <t>IPC guidelines; PPE protocols; hand hygiene stations</t>
        </is>
      </c>
      <c r="H93" s="5" t="inlineStr"/>
    </row>
    <row r="94">
      <c r="A94" s="5" t="inlineStr">
        <is>
          <t>2.3.8</t>
        </is>
      </c>
      <c r="B94" s="7" t="inlineStr">
        <is>
          <t>DURING</t>
        </is>
      </c>
      <c r="C94" s="5" t="inlineStr">
        <is>
          <t>2.3 Response - SYSTEMS</t>
        </is>
      </c>
      <c r="D94" s="5" t="inlineStr">
        <is>
          <t>Needs-based and risk-adjusted standards are defined</t>
        </is>
      </c>
      <c r="E94" s="5" t="inlineStr"/>
      <c r="F94" s="5">
        <f>IF(E94="Completed",1,IF(E94="Partial",0.5,0))</f>
        <v/>
      </c>
      <c r="G94" s="5" t="inlineStr">
        <is>
          <t>Standards documentation; adaptation criteria</t>
        </is>
      </c>
      <c r="H94" s="5" t="inlineStr"/>
    </row>
    <row r="95">
      <c r="A95" s="5" t="inlineStr">
        <is>
          <t>2.4.1</t>
        </is>
      </c>
      <c r="B95" s="7" t="inlineStr">
        <is>
          <t>DURING</t>
        </is>
      </c>
      <c r="C95" s="5" t="inlineStr">
        <is>
          <t>2.4 Response - STUFF</t>
        </is>
      </c>
      <c r="D95" s="5" t="inlineStr">
        <is>
          <t>Timely and flexible resource mobilization protocols are established</t>
        </is>
      </c>
      <c r="E95" s="5" t="inlineStr"/>
      <c r="F95" s="5">
        <f>IF(E95="Completed",1,IF(E95="Partial",0.5,0))</f>
        <v/>
      </c>
      <c r="G95" s="5" t="inlineStr">
        <is>
          <t>Resource request forms; authorization levels; tracking system</t>
        </is>
      </c>
      <c r="H95" s="5" t="inlineStr"/>
    </row>
    <row r="96">
      <c r="A96" s="5" t="inlineStr">
        <is>
          <t>2.4.2</t>
        </is>
      </c>
      <c r="B96" s="7" t="inlineStr">
        <is>
          <t>DURING</t>
        </is>
      </c>
      <c r="C96" s="5" t="inlineStr">
        <is>
          <t>2.4 Response - STUFF</t>
        </is>
      </c>
      <c r="D96" s="5" t="inlineStr">
        <is>
          <t>Emergency procurement protocols are in place</t>
        </is>
      </c>
      <c r="E96" s="5" t="inlineStr"/>
      <c r="F96" s="5">
        <f>IF(E96="Completed",1,IF(E96="Partial",0.5,0))</f>
        <v/>
      </c>
      <c r="G96" s="5" t="inlineStr">
        <is>
          <t>Emergency procurement policy; pre-approved vendors</t>
        </is>
      </c>
      <c r="H96" s="5" t="inlineStr"/>
    </row>
    <row r="97">
      <c r="A97" s="5" t="inlineStr">
        <is>
          <t>2.4.3</t>
        </is>
      </c>
      <c r="B97" s="7" t="inlineStr">
        <is>
          <t>DURING</t>
        </is>
      </c>
      <c r="C97" s="5" t="inlineStr">
        <is>
          <t>2.4 Response - STUFF</t>
        </is>
      </c>
      <c r="D97" s="5" t="inlineStr">
        <is>
          <t>Resource tracking and accountability systems are operational</t>
        </is>
      </c>
      <c r="E97" s="5" t="inlineStr"/>
      <c r="F97" s="5">
        <f>IF(E97="Completed",1,IF(E97="Partial",0.5,0))</f>
        <v/>
      </c>
      <c r="G97" s="5" t="inlineStr">
        <is>
          <t>Tracking forms; check-in/out procedures; inventory counts</t>
        </is>
      </c>
      <c r="H97" s="5" t="inlineStr"/>
    </row>
    <row r="98">
      <c r="A98" s="5" t="inlineStr">
        <is>
          <t>2.4.4</t>
        </is>
      </c>
      <c r="B98" s="7" t="inlineStr">
        <is>
          <t>DURING</t>
        </is>
      </c>
      <c r="C98" s="5" t="inlineStr">
        <is>
          <t>2.4 Response - STUFF</t>
        </is>
      </c>
      <c r="D98" s="5" t="inlineStr">
        <is>
          <t>Pharmaceutical and medical supply surge protocols are established</t>
        </is>
      </c>
      <c r="E98" s="5" t="inlineStr"/>
      <c r="F98" s="5">
        <f>IF(E98="Completed",1,IF(E98="Partial",0.5,0))</f>
        <v/>
      </c>
      <c r="G98" s="5" t="inlineStr">
        <is>
          <t>Surge supply plans; vendor agreements; substitution protocols</t>
        </is>
      </c>
      <c r="H98" s="5" t="inlineStr"/>
    </row>
    <row r="99">
      <c r="A99" s="5" t="inlineStr">
        <is>
          <t>2.4.5</t>
        </is>
      </c>
      <c r="B99" s="7" t="inlineStr">
        <is>
          <t>DURING</t>
        </is>
      </c>
      <c r="C99" s="5" t="inlineStr">
        <is>
          <t>2.4 Response - STUFF</t>
        </is>
      </c>
      <c r="D99" s="5" t="inlineStr">
        <is>
          <t>Blood bank surge capacity protocols are in place</t>
        </is>
      </c>
      <c r="E99" s="5" t="inlineStr"/>
      <c r="F99" s="5">
        <f>IF(E99="Completed",1,IF(E99="Partial",0.5,0))</f>
        <v/>
      </c>
      <c r="G99" s="5" t="inlineStr">
        <is>
          <t>Blood bank surge plan; donor call procedures</t>
        </is>
      </c>
      <c r="H99" s="5" t="inlineStr"/>
    </row>
    <row r="100">
      <c r="A100" s="5" t="inlineStr">
        <is>
          <t>2.4.6</t>
        </is>
      </c>
      <c r="B100" s="7" t="inlineStr">
        <is>
          <t>DURING</t>
        </is>
      </c>
      <c r="C100" s="5" t="inlineStr">
        <is>
          <t>2.4 Response - STUFF</t>
        </is>
      </c>
      <c r="D100" s="5" t="inlineStr">
        <is>
          <t>Equipment sharing agreements with partner facilities are established</t>
        </is>
      </c>
      <c r="E100" s="5" t="inlineStr"/>
      <c r="F100" s="5">
        <f>IF(E100="Completed",1,IF(E100="Partial",0.5,0))</f>
        <v/>
      </c>
      <c r="G100" s="5" t="inlineStr">
        <is>
          <t>Sharing agreements; equipment lists; transfer procedures</t>
        </is>
      </c>
      <c r="H100" s="5" t="inlineStr"/>
    </row>
    <row r="101">
      <c r="A101" s="5" t="inlineStr">
        <is>
          <t>2.5.1</t>
        </is>
      </c>
      <c r="B101" s="7" t="inlineStr">
        <is>
          <t>DURING</t>
        </is>
      </c>
      <c r="C101" s="5" t="inlineStr">
        <is>
          <t>2.5 Response - STAFF</t>
        </is>
      </c>
      <c r="D101" s="5" t="inlineStr">
        <is>
          <t>Staff safety and security protocols during response are established</t>
        </is>
      </c>
      <c r="E101" s="5" t="inlineStr"/>
      <c r="F101" s="5">
        <f>IF(E101="Completed",1,IF(E101="Partial",0.5,0))</f>
        <v/>
      </c>
      <c r="G101" s="5" t="inlineStr">
        <is>
          <t>Safety protocols; security procedures; check-in system</t>
        </is>
      </c>
      <c r="H101" s="5" t="inlineStr"/>
    </row>
    <row r="102">
      <c r="A102" s="5" t="inlineStr">
        <is>
          <t>2.5.2</t>
        </is>
      </c>
      <c r="B102" s="7" t="inlineStr">
        <is>
          <t>DURING</t>
        </is>
      </c>
      <c r="C102" s="5" t="inlineStr">
        <is>
          <t>2.5 Response - STAFF</t>
        </is>
      </c>
      <c r="D102" s="5" t="inlineStr">
        <is>
          <t>Staff health monitoring during response is established</t>
        </is>
      </c>
      <c r="E102" s="5" t="inlineStr"/>
      <c r="F102" s="5">
        <f>IF(E102="Completed",1,IF(E102="Partial",0.5,0))</f>
        <v/>
      </c>
      <c r="G102" s="5" t="inlineStr">
        <is>
          <t>Health screening procedures; exposure tracking; symptom monitoring</t>
        </is>
      </c>
      <c r="H102" s="5" t="inlineStr"/>
    </row>
    <row r="103">
      <c r="A103" s="5" t="inlineStr">
        <is>
          <t>2.5.3</t>
        </is>
      </c>
      <c r="B103" s="7" t="inlineStr">
        <is>
          <t>DURING</t>
        </is>
      </c>
      <c r="C103" s="5" t="inlineStr">
        <is>
          <t>2.5 Response - STAFF</t>
        </is>
      </c>
      <c r="D103" s="5" t="inlineStr">
        <is>
          <t>Staff welfare support (rest, meals, family) protocols are in place</t>
        </is>
      </c>
      <c r="E103" s="5" t="inlineStr"/>
      <c r="F103" s="5">
        <f>IF(E103="Completed",1,IF(E103="Partial",0.5,0))</f>
        <v/>
      </c>
      <c r="G103" s="5" t="inlineStr">
        <is>
          <t>Rest area designation; meal provision plans; family communication</t>
        </is>
      </c>
      <c r="H103" s="5" t="inlineStr"/>
    </row>
    <row r="104">
      <c r="A104" s="5" t="inlineStr">
        <is>
          <t>2.5.4</t>
        </is>
      </c>
      <c r="B104" s="7" t="inlineStr">
        <is>
          <t>DURING</t>
        </is>
      </c>
      <c r="C104" s="5" t="inlineStr">
        <is>
          <t>2.5 Response - STAFF</t>
        </is>
      </c>
      <c r="D104" s="5" t="inlineStr">
        <is>
          <t>Staff surge/augmentation protocols are established</t>
        </is>
      </c>
      <c r="E104" s="5" t="inlineStr"/>
      <c r="F104" s="5">
        <f>IF(E104="Completed",1,IF(E104="Partial",0.5,0))</f>
        <v/>
      </c>
      <c r="G104" s="5" t="inlineStr">
        <is>
          <t>Surge staffing plans; overtime policies; temporary staffing</t>
        </is>
      </c>
      <c r="H104" s="5" t="inlineStr"/>
    </row>
    <row r="105">
      <c r="A105" s="5" t="inlineStr">
        <is>
          <t>2.5.5</t>
        </is>
      </c>
      <c r="B105" s="7" t="inlineStr">
        <is>
          <t>DURING</t>
        </is>
      </c>
      <c r="C105" s="5" t="inlineStr">
        <is>
          <t>2.5 Response - STAFF</t>
        </is>
      </c>
      <c r="D105" s="5" t="inlineStr">
        <is>
          <t>Volunteer integration protocols are in place</t>
        </is>
      </c>
      <c r="E105" s="5" t="inlineStr"/>
      <c r="F105" s="5">
        <f>IF(E105="Completed",1,IF(E105="Partial",0.5,0))</f>
        <v/>
      </c>
      <c r="G105" s="5" t="inlineStr">
        <is>
          <t>Volunteer deployment SOPs; supervision arrangements</t>
        </is>
      </c>
      <c r="H105" s="5" t="inlineStr"/>
    </row>
    <row r="106">
      <c r="A106" s="5" t="inlineStr">
        <is>
          <t>2.5.6</t>
        </is>
      </c>
      <c r="B106" s="7" t="inlineStr">
        <is>
          <t>DURING</t>
        </is>
      </c>
      <c r="C106" s="5" t="inlineStr">
        <is>
          <t>2.5 Response - STAFF</t>
        </is>
      </c>
      <c r="D106" s="5" t="inlineStr">
        <is>
          <t>Psychological support for staff during response is available</t>
        </is>
      </c>
      <c r="E106" s="5" t="inlineStr"/>
      <c r="F106" s="5">
        <f>IF(E106="Completed",1,IF(E106="Partial",0.5,0))</f>
        <v/>
      </c>
      <c r="G106" s="5" t="inlineStr">
        <is>
          <t>Mental health support resources; peer support program</t>
        </is>
      </c>
      <c r="H106" s="5" t="inlineStr"/>
    </row>
    <row r="107">
      <c r="A107" s="5" t="inlineStr">
        <is>
          <t>3.1.1</t>
        </is>
      </c>
      <c r="B107" s="8" t="inlineStr">
        <is>
          <t>AFTER</t>
        </is>
      </c>
      <c r="C107" s="5" t="inlineStr">
        <is>
          <t>3.1 Recovery - SPACE</t>
        </is>
      </c>
      <c r="D107" s="5" t="inlineStr">
        <is>
          <t>Damage and loss assessment protocol for facilities is established</t>
        </is>
      </c>
      <c r="E107" s="5" t="inlineStr"/>
      <c r="F107" s="5">
        <f>IF(E107="Completed",1,IF(E107="Partial",0.5,0))</f>
        <v/>
      </c>
      <c r="G107" s="5" t="inlineStr">
        <is>
          <t>Assessment forms; damage categories; cost estimation procedures</t>
        </is>
      </c>
      <c r="H107" s="5" t="inlineStr"/>
    </row>
    <row r="108">
      <c r="A108" s="5" t="inlineStr">
        <is>
          <t>3.1.2</t>
        </is>
      </c>
      <c r="B108" s="8" t="inlineStr">
        <is>
          <t>AFTER</t>
        </is>
      </c>
      <c r="C108" s="5" t="inlineStr">
        <is>
          <t>3.1 Recovery - SPACE</t>
        </is>
      </c>
      <c r="D108" s="5" t="inlineStr">
        <is>
          <t>Step-down facility utilization protocol is in place</t>
        </is>
      </c>
      <c r="E108" s="5" t="inlineStr"/>
      <c r="F108" s="5">
        <f>IF(E108="Completed",1,IF(E108="Partial",0.5,0))</f>
        <v/>
      </c>
      <c r="G108" s="5" t="inlineStr">
        <is>
          <t>Utilization criteria; patient selection; transition procedures</t>
        </is>
      </c>
      <c r="H108" s="5" t="inlineStr"/>
    </row>
    <row r="109">
      <c r="A109" s="5" t="inlineStr">
        <is>
          <t>3.1.3</t>
        </is>
      </c>
      <c r="B109" s="8" t="inlineStr">
        <is>
          <t>AFTER</t>
        </is>
      </c>
      <c r="C109" s="5" t="inlineStr">
        <is>
          <t>3.1 Recovery - SPACE</t>
        </is>
      </c>
      <c r="D109" s="5" t="inlineStr">
        <is>
          <t>Facility rehabilitation and repair protocol is established</t>
        </is>
      </c>
      <c r="E109" s="5" t="inlineStr"/>
      <c r="F109" s="5">
        <f>IF(E109="Completed",1,IF(E109="Partial",0.5,0))</f>
        <v/>
      </c>
      <c r="G109" s="5" t="inlineStr">
        <is>
          <t>Repair prioritization; contractor agreements; quality standards</t>
        </is>
      </c>
      <c r="H109" s="5" t="inlineStr"/>
    </row>
    <row r="110">
      <c r="A110" s="5" t="inlineStr">
        <is>
          <t>3.1.4</t>
        </is>
      </c>
      <c r="B110" s="8" t="inlineStr">
        <is>
          <t>AFTER</t>
        </is>
      </c>
      <c r="C110" s="5" t="inlineStr">
        <is>
          <t>3.1 Recovery - SPACE</t>
        </is>
      </c>
      <c r="D110" s="5" t="inlineStr">
        <is>
          <t>Return to normal operations protocol for spaces is defined</t>
        </is>
      </c>
      <c r="E110" s="5" t="inlineStr"/>
      <c r="F110" s="5">
        <f>IF(E110="Completed",1,IF(E110="Partial",0.5,0))</f>
        <v/>
      </c>
      <c r="G110" s="5" t="inlineStr">
        <is>
          <t>Normalization criteria; cleaning/decontamination; equipment return</t>
        </is>
      </c>
      <c r="H110" s="5" t="inlineStr"/>
    </row>
    <row r="111">
      <c r="A111" s="5" t="inlineStr">
        <is>
          <t>3.2.1</t>
        </is>
      </c>
      <c r="B111" s="8" t="inlineStr">
        <is>
          <t>AFTER</t>
        </is>
      </c>
      <c r="C111" s="5" t="inlineStr">
        <is>
          <t>3.2 Recovery - STRATEGIES</t>
        </is>
      </c>
      <c r="D111" s="5" t="inlineStr">
        <is>
          <t>Short-term recovery strategies for service continuity are defined</t>
        </is>
      </c>
      <c r="E111" s="5" t="inlineStr"/>
      <c r="F111" s="5">
        <f>IF(E111="Completed",1,IF(E111="Partial",0.5,0))</f>
        <v/>
      </c>
      <c r="G111" s="5" t="inlineStr">
        <is>
          <t>Recovery strategy document; priority services; timeline</t>
        </is>
      </c>
      <c r="H111" s="5" t="inlineStr"/>
    </row>
    <row r="112">
      <c r="A112" s="5" t="inlineStr">
        <is>
          <t>3.2.2</t>
        </is>
      </c>
      <c r="B112" s="8" t="inlineStr">
        <is>
          <t>AFTER</t>
        </is>
      </c>
      <c r="C112" s="5" t="inlineStr">
        <is>
          <t>3.2 Recovery - STRATEGIES</t>
        </is>
      </c>
      <c r="D112" s="5" t="inlineStr">
        <is>
          <t>Stand-down of response operations protocol is established</t>
        </is>
      </c>
      <c r="E112" s="5" t="inlineStr"/>
      <c r="F112" s="5">
        <f>IF(E112="Completed",1,IF(E112="Partial",0.5,0))</f>
        <v/>
      </c>
      <c r="G112" s="5" t="inlineStr">
        <is>
          <t>Demobilization checklist; phase-down criteria</t>
        </is>
      </c>
      <c r="H112" s="5" t="inlineStr"/>
    </row>
    <row r="113">
      <c r="A113" s="5" t="inlineStr">
        <is>
          <t>3.2.3</t>
        </is>
      </c>
      <c r="B113" s="8" t="inlineStr">
        <is>
          <t>AFTER</t>
        </is>
      </c>
      <c r="C113" s="5" t="inlineStr">
        <is>
          <t>3.2 Recovery - STRATEGIES</t>
        </is>
      </c>
      <c r="D113" s="5" t="inlineStr">
        <is>
          <t>Post-disaster recovery planning process is in place</t>
        </is>
      </c>
      <c r="E113" s="5" t="inlineStr"/>
      <c r="F113" s="5">
        <f>IF(E113="Completed",1,IF(E113="Partial",0.5,0))</f>
        <v/>
      </c>
      <c r="G113" s="5" t="inlineStr">
        <is>
          <t>Recovery planning framework; stakeholder involvement</t>
        </is>
      </c>
      <c r="H113" s="5" t="inlineStr"/>
    </row>
    <row r="114">
      <c r="A114" s="5" t="inlineStr">
        <is>
          <t>3.2.4</t>
        </is>
      </c>
      <c r="B114" s="8" t="inlineStr">
        <is>
          <t>AFTER</t>
        </is>
      </c>
      <c r="C114" s="5" t="inlineStr">
        <is>
          <t>3.2 Recovery - STRATEGIES</t>
        </is>
      </c>
      <c r="D114" s="5" t="inlineStr">
        <is>
          <t>Long-term reconstruction planning process is established</t>
        </is>
      </c>
      <c r="E114" s="5" t="inlineStr"/>
      <c r="F114" s="5">
        <f>IF(E114="Completed",1,IF(E114="Partial",0.5,0))</f>
        <v/>
      </c>
      <c r="G114" s="5" t="inlineStr">
        <is>
          <t>Reconstruction plan; funding sources; build back better</t>
        </is>
      </c>
      <c r="H114" s="5" t="inlineStr"/>
    </row>
    <row r="115">
      <c r="A115" s="5" t="inlineStr">
        <is>
          <t>3.2.5</t>
        </is>
      </c>
      <c r="B115" s="8" t="inlineStr">
        <is>
          <t>AFTER</t>
        </is>
      </c>
      <c r="C115" s="5" t="inlineStr">
        <is>
          <t>3.2 Recovery - STRATEGIES</t>
        </is>
      </c>
      <c r="D115" s="5" t="inlineStr">
        <is>
          <t>Security protocols for recovery phase are defined</t>
        </is>
      </c>
      <c r="E115" s="5" t="inlineStr"/>
      <c r="F115" s="5">
        <f>IF(E115="Completed",1,IF(E115="Partial",0.5,0))</f>
        <v/>
      </c>
      <c r="G115" s="5" t="inlineStr">
        <is>
          <t>Security assessment; access control; asset protection</t>
        </is>
      </c>
      <c r="H115" s="5" t="inlineStr"/>
    </row>
    <row r="116">
      <c r="A116" s="5" t="inlineStr">
        <is>
          <t>3.2.6</t>
        </is>
      </c>
      <c r="B116" s="8" t="inlineStr">
        <is>
          <t>AFTER</t>
        </is>
      </c>
      <c r="C116" s="5" t="inlineStr">
        <is>
          <t>3.2 Recovery - STRATEGIES</t>
        </is>
      </c>
      <c r="D116" s="5" t="inlineStr">
        <is>
          <t>Transition from emergency to routine operations is defined</t>
        </is>
      </c>
      <c r="E116" s="5" t="inlineStr"/>
      <c r="F116" s="5">
        <f>IF(E116="Completed",1,IF(E116="Partial",0.5,0))</f>
        <v/>
      </c>
      <c r="G116" s="5" t="inlineStr">
        <is>
          <t>Transition criteria; staff reassignment; documentation closure</t>
        </is>
      </c>
      <c r="H116" s="5" t="inlineStr"/>
    </row>
    <row r="117">
      <c r="A117" s="5" t="inlineStr">
        <is>
          <t>3.2.7</t>
        </is>
      </c>
      <c r="B117" s="8" t="inlineStr">
        <is>
          <t>AFTER</t>
        </is>
      </c>
      <c r="C117" s="5" t="inlineStr">
        <is>
          <t>3.2 Recovery - STRATEGIES</t>
        </is>
      </c>
      <c r="D117" s="5" t="inlineStr">
        <is>
          <t>Build-back-better principles are integrated into recovery</t>
        </is>
      </c>
      <c r="E117" s="5" t="inlineStr"/>
      <c r="F117" s="5">
        <f>IF(E117="Completed",1,IF(E117="Partial",0.5,0))</f>
        <v/>
      </c>
      <c r="G117" s="5" t="inlineStr">
        <is>
          <t>BBB assessment; resilience improvements; hazard mitigation</t>
        </is>
      </c>
      <c r="H117" s="5" t="inlineStr"/>
    </row>
    <row r="118">
      <c r="A118" s="5" t="inlineStr">
        <is>
          <t>3.2.8</t>
        </is>
      </c>
      <c r="B118" s="8" t="inlineStr">
        <is>
          <t>AFTER</t>
        </is>
      </c>
      <c r="C118" s="5" t="inlineStr">
        <is>
          <t>3.2 Recovery - STRATEGIES</t>
        </is>
      </c>
      <c r="D118" s="5" t="inlineStr">
        <is>
          <t>Lessons learned are incorporated into plan updates</t>
        </is>
      </c>
      <c r="E118" s="5" t="inlineStr"/>
      <c r="F118" s="5">
        <f>IF(E118="Completed",1,IF(E118="Partial",0.5,0))</f>
        <v/>
      </c>
      <c r="G118" s="5" t="inlineStr">
        <is>
          <t>Lesson learned documentation; plan revision records</t>
        </is>
      </c>
      <c r="H118" s="5" t="inlineStr"/>
    </row>
    <row r="119">
      <c r="A119" s="5" t="inlineStr">
        <is>
          <t>3.3.1</t>
        </is>
      </c>
      <c r="B119" s="8" t="inlineStr">
        <is>
          <t>AFTER</t>
        </is>
      </c>
      <c r="C119" s="5" t="inlineStr">
        <is>
          <t>3.3 Recovery - SYSTEMS</t>
        </is>
      </c>
      <c r="D119" s="5" t="inlineStr">
        <is>
          <t>IT and medical records recovery protocols are established</t>
        </is>
      </c>
      <c r="E119" s="5" t="inlineStr"/>
      <c r="F119" s="5">
        <f>IF(E119="Completed",1,IF(E119="Partial",0.5,0))</f>
        <v/>
      </c>
      <c r="G119" s="5" t="inlineStr">
        <is>
          <t>IT recovery plan; data backup verification; system restoration</t>
        </is>
      </c>
      <c r="H119" s="5" t="inlineStr"/>
    </row>
    <row r="120">
      <c r="A120" s="5" t="inlineStr">
        <is>
          <t>3.3.2</t>
        </is>
      </c>
      <c r="B120" s="8" t="inlineStr">
        <is>
          <t>AFTER</t>
        </is>
      </c>
      <c r="C120" s="5" t="inlineStr">
        <is>
          <t>3.3 Recovery - SYSTEMS</t>
        </is>
      </c>
      <c r="D120" s="5" t="inlineStr">
        <is>
          <t>Rehabilitation services protocols are in place</t>
        </is>
      </c>
      <c r="E120" s="5" t="inlineStr"/>
      <c r="F120" s="5">
        <f>IF(E120="Completed",1,IF(E120="Partial",0.5,0))</f>
        <v/>
      </c>
      <c r="G120" s="5" t="inlineStr">
        <is>
          <t>Rehabilitation service plan; patient needs assessment</t>
        </is>
      </c>
      <c r="H120" s="5" t="inlineStr"/>
    </row>
    <row r="121">
      <c r="A121" s="5" t="inlineStr">
        <is>
          <t>3.3.3</t>
        </is>
      </c>
      <c r="B121" s="8" t="inlineStr">
        <is>
          <t>AFTER</t>
        </is>
      </c>
      <c r="C121" s="5" t="inlineStr">
        <is>
          <t>3.3 Recovery - SYSTEMS</t>
        </is>
      </c>
      <c r="D121" s="5" t="inlineStr">
        <is>
          <t>Surveillance continuation during recovery is planned</t>
        </is>
      </c>
      <c r="E121" s="5" t="inlineStr"/>
      <c r="F121" s="5">
        <f>IF(E121="Completed",1,IF(E121="Partial",0.5,0))</f>
        <v/>
      </c>
      <c r="G121" s="5" t="inlineStr">
        <is>
          <t>Surveillance protocols; disease monitoring; trend analysis</t>
        </is>
      </c>
      <c r="H121" s="5" t="inlineStr"/>
    </row>
    <row r="122">
      <c r="A122" s="5" t="inlineStr">
        <is>
          <t>3.3.4</t>
        </is>
      </c>
      <c r="B122" s="8" t="inlineStr">
        <is>
          <t>AFTER</t>
        </is>
      </c>
      <c r="C122" s="5" t="inlineStr">
        <is>
          <t>3.3 Recovery - SYSTEMS</t>
        </is>
      </c>
      <c r="D122" s="5" t="inlineStr">
        <is>
          <t>IPC measures during recovery phase are defined</t>
        </is>
      </c>
      <c r="E122" s="5" t="inlineStr"/>
      <c r="F122" s="5">
        <f>IF(E122="Completed",1,IF(E122="Partial",0.5,0))</f>
        <v/>
      </c>
      <c r="G122" s="5" t="inlineStr">
        <is>
          <t>Recovery IPC guidelines; decontamination procedures</t>
        </is>
      </c>
      <c r="H122" s="5" t="inlineStr"/>
    </row>
    <row r="123">
      <c r="A123" s="5" t="inlineStr">
        <is>
          <t>3.3.5</t>
        </is>
      </c>
      <c r="B123" s="8" t="inlineStr">
        <is>
          <t>AFTER</t>
        </is>
      </c>
      <c r="C123" s="5" t="inlineStr">
        <is>
          <t>3.3 Recovery - SYSTEMS</t>
        </is>
      </c>
      <c r="D123" s="5" t="inlineStr">
        <is>
          <t>Communication protocols for recovery phase are established</t>
        </is>
      </c>
      <c r="E123" s="5" t="inlineStr"/>
      <c r="F123" s="5">
        <f>IF(E123="Completed",1,IF(E123="Partial",0.5,0))</f>
        <v/>
      </c>
      <c r="G123" s="5" t="inlineStr">
        <is>
          <t>Recovery communication plan; stakeholder updates</t>
        </is>
      </c>
      <c r="H123" s="5" t="inlineStr"/>
    </row>
    <row r="124">
      <c r="A124" s="5" t="inlineStr">
        <is>
          <t>3.3.6</t>
        </is>
      </c>
      <c r="B124" s="8" t="inlineStr">
        <is>
          <t>AFTER</t>
        </is>
      </c>
      <c r="C124" s="5" t="inlineStr">
        <is>
          <t>3.3 Recovery - SYSTEMS</t>
        </is>
      </c>
      <c r="D124" s="5" t="inlineStr">
        <is>
          <t>Community engagement for recovery is planned</t>
        </is>
      </c>
      <c r="E124" s="5" t="inlineStr"/>
      <c r="F124" s="5">
        <f>IF(E124="Completed",1,IF(E124="Partial",0.5,0))</f>
        <v/>
      </c>
      <c r="G124" s="5" t="inlineStr">
        <is>
          <t>Community recovery engagement; feedback mechanisms</t>
        </is>
      </c>
      <c r="H124" s="5" t="inlineStr"/>
    </row>
    <row r="125">
      <c r="A125" s="5" t="inlineStr">
        <is>
          <t>3.4.1</t>
        </is>
      </c>
      <c r="B125" s="8" t="inlineStr">
        <is>
          <t>AFTER</t>
        </is>
      </c>
      <c r="C125" s="5" t="inlineStr">
        <is>
          <t>3.4 Recovery - STUFF</t>
        </is>
      </c>
      <c r="D125" s="5" t="inlineStr">
        <is>
          <t>Inventory update and supplies restocking protocol is established</t>
        </is>
      </c>
      <c r="E125" s="5" t="inlineStr"/>
      <c r="F125" s="5">
        <f>IF(E125="Completed",1,IF(E125="Partial",0.5,0))</f>
        <v/>
      </c>
      <c r="G125" s="5" t="inlineStr">
        <is>
          <t>Inventory reconciliation; restocking priorities; vendor notification</t>
        </is>
      </c>
      <c r="H125" s="5" t="inlineStr"/>
    </row>
    <row r="126">
      <c r="A126" s="5" t="inlineStr">
        <is>
          <t>3.4.2</t>
        </is>
      </c>
      <c r="B126" s="8" t="inlineStr">
        <is>
          <t>AFTER</t>
        </is>
      </c>
      <c r="C126" s="5" t="inlineStr">
        <is>
          <t>3.4 Recovery - STUFF</t>
        </is>
      </c>
      <c r="D126" s="5" t="inlineStr">
        <is>
          <t>Equipment repair and replacement protocol is in place</t>
        </is>
      </c>
      <c r="E126" s="5" t="inlineStr"/>
      <c r="F126" s="5">
        <f>IF(E126="Completed",1,IF(E126="Partial",0.5,0))</f>
        <v/>
      </c>
      <c r="G126" s="5" t="inlineStr">
        <is>
          <t>Equipment assessment; repair vs. replace criteria</t>
        </is>
      </c>
      <c r="H126" s="5" t="inlineStr"/>
    </row>
    <row r="127">
      <c r="A127" s="5" t="inlineStr">
        <is>
          <t>3.4.3</t>
        </is>
      </c>
      <c r="B127" s="8" t="inlineStr">
        <is>
          <t>AFTER</t>
        </is>
      </c>
      <c r="C127" s="5" t="inlineStr">
        <is>
          <t>3.4 Recovery - STUFF</t>
        </is>
      </c>
      <c r="D127" s="5" t="inlineStr">
        <is>
          <t>Cost mitigation strategies (direct and indirect) are defined</t>
        </is>
      </c>
      <c r="E127" s="5" t="inlineStr"/>
      <c r="F127" s="5">
        <f>IF(E127="Completed",1,IF(E127="Partial",0.5,0))</f>
        <v/>
      </c>
      <c r="G127" s="5" t="inlineStr">
        <is>
          <t>Cost tracking; insurance claims; government reimbursement</t>
        </is>
      </c>
      <c r="H127" s="5" t="inlineStr"/>
    </row>
    <row r="128">
      <c r="A128" s="5" t="inlineStr">
        <is>
          <t>3.4.4</t>
        </is>
      </c>
      <c r="B128" s="8" t="inlineStr">
        <is>
          <t>AFTER</t>
        </is>
      </c>
      <c r="C128" s="5" t="inlineStr">
        <is>
          <t>3.4 Recovery - STUFF</t>
        </is>
      </c>
      <c r="D128" s="5" t="inlineStr">
        <is>
          <t>Financial recovery and insurance claim processes are established</t>
        </is>
      </c>
      <c r="E128" s="5" t="inlineStr"/>
      <c r="F128" s="5">
        <f>IF(E128="Completed",1,IF(E128="Partial",0.5,0))</f>
        <v/>
      </c>
      <c r="G128" s="5" t="inlineStr">
        <is>
          <t>Insurance policy; claims procedures; reimbursement tracking</t>
        </is>
      </c>
      <c r="H128" s="5" t="inlineStr"/>
    </row>
    <row r="129">
      <c r="A129" s="5" t="inlineStr">
        <is>
          <t>3.5.1</t>
        </is>
      </c>
      <c r="B129" s="8" t="inlineStr">
        <is>
          <t>AFTER</t>
        </is>
      </c>
      <c r="C129" s="5" t="inlineStr">
        <is>
          <t>3.5 Recovery - STAFF</t>
        </is>
      </c>
      <c r="D129" s="5" t="inlineStr">
        <is>
          <t>Mental Health and Psychosocial Support (MHPSS) program is established</t>
        </is>
      </c>
      <c r="E129" s="5" t="inlineStr"/>
      <c r="F129" s="5">
        <f>IF(E129="Completed",1,IF(E129="Partial",0.5,0))</f>
        <v/>
      </c>
      <c r="G129" s="5" t="inlineStr">
        <is>
          <t>MHPSS program document; counseling services; peer support</t>
        </is>
      </c>
      <c r="H129" s="5" t="inlineStr"/>
    </row>
    <row r="130">
      <c r="A130" s="5" t="inlineStr">
        <is>
          <t>3.5.2</t>
        </is>
      </c>
      <c r="B130" s="8" t="inlineStr">
        <is>
          <t>AFTER</t>
        </is>
      </c>
      <c r="C130" s="5" t="inlineStr">
        <is>
          <t>3.5 Recovery - STAFF</t>
        </is>
      </c>
      <c r="D130" s="5" t="inlineStr">
        <is>
          <t>Financial and non-financial incentives for recovery are defined</t>
        </is>
      </c>
      <c r="E130" s="5" t="inlineStr"/>
      <c r="F130" s="5">
        <f>IF(E130="Completed",1,IF(E130="Partial",0.5,0))</f>
        <v/>
      </c>
      <c r="G130" s="5" t="inlineStr">
        <is>
          <t>Incentive policy; overtime compensation; recognition programs</t>
        </is>
      </c>
      <c r="H130" s="5" t="inlineStr"/>
    </row>
    <row r="131">
      <c r="A131" s="5" t="inlineStr">
        <is>
          <t>3.5.3</t>
        </is>
      </c>
      <c r="B131" s="8" t="inlineStr">
        <is>
          <t>AFTER</t>
        </is>
      </c>
      <c r="C131" s="5" t="inlineStr">
        <is>
          <t>3.5 Recovery - STAFF</t>
        </is>
      </c>
      <c r="D131" s="5" t="inlineStr">
        <is>
          <t>Demobilization protocols for staff and volunteers are established</t>
        </is>
      </c>
      <c r="E131" s="5" t="inlineStr"/>
      <c r="F131" s="5">
        <f>IF(E131="Completed",1,IF(E131="Partial",0.5,0))</f>
        <v/>
      </c>
      <c r="G131" s="5" t="inlineStr">
        <is>
          <t>Demobilization procedures; checkout process; exit briefing</t>
        </is>
      </c>
      <c r="H131" s="5" t="inlineStr"/>
    </row>
    <row r="132">
      <c r="A132" s="5" t="inlineStr">
        <is>
          <t>3.5.4</t>
        </is>
      </c>
      <c r="B132" s="8" t="inlineStr">
        <is>
          <t>AFTER</t>
        </is>
      </c>
      <c r="C132" s="5" t="inlineStr">
        <is>
          <t>3.5 Recovery - STAFF</t>
        </is>
      </c>
      <c r="D132" s="5" t="inlineStr">
        <is>
          <t>Staff recognition and rewards program post-emergency is in place</t>
        </is>
      </c>
      <c r="E132" s="5" t="inlineStr"/>
      <c r="F132" s="5">
        <f>IF(E132="Completed",1,IF(E132="Partial",0.5,0))</f>
        <v/>
      </c>
      <c r="G132" s="5" t="inlineStr">
        <is>
          <t>Recognition criteria; award categories; ceremony planning</t>
        </is>
      </c>
      <c r="H132" s="5" t="inlineStr"/>
    </row>
    <row r="133">
      <c r="A133" s="5" t="inlineStr">
        <is>
          <t>3.5.5</t>
        </is>
      </c>
      <c r="B133" s="8" t="inlineStr">
        <is>
          <t>AFTER</t>
        </is>
      </c>
      <c r="C133" s="5" t="inlineStr">
        <is>
          <t>3.5 Recovery - STAFF</t>
        </is>
      </c>
      <c r="D133" s="5" t="inlineStr">
        <is>
          <t>Return to normal staffing levels protocol is defined</t>
        </is>
      </c>
      <c r="E133" s="5" t="inlineStr"/>
      <c r="F133" s="5">
        <f>IF(E133="Completed",1,IF(E133="Partial",0.5,0))</f>
        <v/>
      </c>
      <c r="G133" s="5" t="inlineStr">
        <is>
          <t>Staffing restoration plan; schedule normalization</t>
        </is>
      </c>
      <c r="H133" s="5" t="inlineStr"/>
    </row>
    <row r="134">
      <c r="A134" s="5" t="inlineStr">
        <is>
          <t>3.5.6</t>
        </is>
      </c>
      <c r="B134" s="8" t="inlineStr">
        <is>
          <t>AFTER</t>
        </is>
      </c>
      <c r="C134" s="5" t="inlineStr">
        <is>
          <t>3.5 Recovery - STAFF</t>
        </is>
      </c>
      <c r="D134" s="5" t="inlineStr">
        <is>
          <t>Staff fatigue management during recovery is addressed</t>
        </is>
      </c>
      <c r="E134" s="5" t="inlineStr"/>
      <c r="F134" s="5">
        <f>IF(E134="Completed",1,IF(E134="Partial",0.5,0))</f>
        <v/>
      </c>
      <c r="G134" s="5" t="inlineStr">
        <is>
          <t>Fatigue assessment; mandatory rest periods; wellness programs</t>
        </is>
      </c>
      <c r="H134" s="5" t="inlineStr"/>
    </row>
    <row r="135">
      <c r="A135" s="5" t="inlineStr">
        <is>
          <t>3.6.1</t>
        </is>
      </c>
      <c r="B135" s="8" t="inlineStr">
        <is>
          <t>AFTER</t>
        </is>
      </c>
      <c r="C135" s="5" t="inlineStr">
        <is>
          <t>3.6 After Action Review</t>
        </is>
      </c>
      <c r="D135" s="5" t="inlineStr">
        <is>
          <t>After Action Review (AAR) process is established</t>
        </is>
      </c>
      <c r="E135" s="5" t="inlineStr"/>
      <c r="F135" s="5">
        <f>IF(E135="Completed",1,IF(E135="Partial",0.5,0))</f>
        <v/>
      </c>
      <c r="G135" s="5" t="inlineStr">
        <is>
          <t>AAR SOP; facilitator training; template documents</t>
        </is>
      </c>
      <c r="H135" s="5" t="inlineStr"/>
    </row>
    <row r="136">
      <c r="A136" s="5" t="inlineStr">
        <is>
          <t>3.6.2</t>
        </is>
      </c>
      <c r="B136" s="8" t="inlineStr">
        <is>
          <t>AFTER</t>
        </is>
      </c>
      <c r="C136" s="5" t="inlineStr">
        <is>
          <t>3.6 After Action Review</t>
        </is>
      </c>
      <c r="D136" s="5" t="inlineStr">
        <is>
          <t>Background information collection protocol for AAR is in place</t>
        </is>
      </c>
      <c r="E136" s="5" t="inlineStr"/>
      <c r="F136" s="5">
        <f>IF(E136="Completed",1,IF(E136="Partial",0.5,0))</f>
        <v/>
      </c>
      <c r="G136" s="5" t="inlineStr">
        <is>
          <t>Data collection forms; document retention; timeline construction</t>
        </is>
      </c>
      <c r="H136" s="5" t="inlineStr"/>
    </row>
    <row r="137">
      <c r="A137" s="5" t="inlineStr">
        <is>
          <t>3.6.3</t>
        </is>
      </c>
      <c r="B137" s="8" t="inlineStr">
        <is>
          <t>AFTER</t>
        </is>
      </c>
      <c r="C137" s="5" t="inlineStr">
        <is>
          <t>3.6 After Action Review</t>
        </is>
      </c>
      <c r="D137" s="5" t="inlineStr">
        <is>
          <t>Trigger questions development process is defined</t>
        </is>
      </c>
      <c r="E137" s="5" t="inlineStr"/>
      <c r="F137" s="5">
        <f>IF(E137="Completed",1,IF(E137="Partial",0.5,0))</f>
        <v/>
      </c>
      <c r="G137" s="5" t="inlineStr">
        <is>
          <t>Question development methodology; objective alignment</t>
        </is>
      </c>
      <c r="H137" s="5" t="inlineStr"/>
    </row>
    <row r="138">
      <c r="A138" s="5" t="inlineStr">
        <is>
          <t>3.6.4</t>
        </is>
      </c>
      <c r="B138" s="8" t="inlineStr">
        <is>
          <t>AFTER</t>
        </is>
      </c>
      <c r="C138" s="5" t="inlineStr">
        <is>
          <t>3.6 After Action Review</t>
        </is>
      </c>
      <c r="D138" s="5" t="inlineStr">
        <is>
          <t>Identification of strengths, challenges, and new capacities is conducted</t>
        </is>
      </c>
      <c r="E138" s="5" t="inlineStr"/>
      <c r="F138" s="5">
        <f>IF(E138="Completed",1,IF(E138="Partial",0.5,0))</f>
        <v/>
      </c>
      <c r="G138" s="5" t="inlineStr">
        <is>
          <t>Analysis framework; root cause analysis</t>
        </is>
      </c>
      <c r="H138" s="5" t="inlineStr"/>
    </row>
    <row r="139">
      <c r="A139" s="5" t="inlineStr">
        <is>
          <t>3.6.5</t>
        </is>
      </c>
      <c r="B139" s="8" t="inlineStr">
        <is>
          <t>AFTER</t>
        </is>
      </c>
      <c r="C139" s="5" t="inlineStr">
        <is>
          <t>3.6 After Action Review</t>
        </is>
      </c>
      <c r="D139" s="5" t="inlineStr">
        <is>
          <t>Consensus building among participants is facilitated</t>
        </is>
      </c>
      <c r="E139" s="5" t="inlineStr"/>
      <c r="F139" s="5">
        <f>IF(E139="Completed",1,IF(E139="Partial",0.5,0))</f>
        <v/>
      </c>
      <c r="G139" s="5" t="inlineStr">
        <is>
          <t>Facilitation techniques; voting/ranking methods</t>
        </is>
      </c>
      <c r="H139" s="5" t="inlineStr"/>
    </row>
    <row r="140">
      <c r="A140" s="5" t="inlineStr">
        <is>
          <t>3.6.6</t>
        </is>
      </c>
      <c r="B140" s="8" t="inlineStr">
        <is>
          <t>AFTER</t>
        </is>
      </c>
      <c r="C140" s="5" t="inlineStr">
        <is>
          <t>3.6 After Action Review</t>
        </is>
      </c>
      <c r="D140" s="5" t="inlineStr">
        <is>
          <t>AAR team debriefing process is established</t>
        </is>
      </c>
      <c r="E140" s="5" t="inlineStr"/>
      <c r="F140" s="5">
        <f>IF(E140="Completed",1,IF(E140="Partial",0.5,0))</f>
        <v/>
      </c>
      <c r="G140" s="5" t="inlineStr">
        <is>
          <t>Debriefing schedule; participation requirements</t>
        </is>
      </c>
      <c r="H140" s="5" t="inlineStr"/>
    </row>
    <row r="141">
      <c r="A141" s="5" t="inlineStr">
        <is>
          <t>3.6.7</t>
        </is>
      </c>
      <c r="B141" s="8" t="inlineStr">
        <is>
          <t>AFTER</t>
        </is>
      </c>
      <c r="C141" s="5" t="inlineStr">
        <is>
          <t>3.6 After Action Review</t>
        </is>
      </c>
      <c r="D141" s="5" t="inlineStr">
        <is>
          <t>AAR report writing and dissemination process is in place</t>
        </is>
      </c>
      <c r="E141" s="5" t="inlineStr"/>
      <c r="F141" s="5">
        <f>IF(E141="Completed",1,IF(E141="Partial",0.5,0))</f>
        <v/>
      </c>
      <c r="G141" s="5" t="inlineStr">
        <is>
          <t>Report template; approval process; distribution list</t>
        </is>
      </c>
      <c r="H141" s="5" t="inlineStr"/>
    </row>
    <row r="142">
      <c r="A142" s="5" t="inlineStr">
        <is>
          <t>3.6.8</t>
        </is>
      </c>
      <c r="B142" s="8" t="inlineStr">
        <is>
          <t>AFTER</t>
        </is>
      </c>
      <c r="C142" s="5" t="inlineStr">
        <is>
          <t>3.6 After Action Review</t>
        </is>
      </c>
      <c r="D142" s="5" t="inlineStr">
        <is>
          <t>Lessons learned process with corrective action plan is established</t>
        </is>
      </c>
      <c r="E142" s="5" t="inlineStr"/>
      <c r="F142" s="5">
        <f>IF(E142="Completed",1,IF(E142="Partial",0.5,0))</f>
        <v/>
      </c>
      <c r="G142" s="5" t="inlineStr">
        <is>
          <t>Lessons learned database; corrective action template; tracking</t>
        </is>
      </c>
      <c r="H142" s="5" t="inlineStr"/>
    </row>
  </sheetData>
  <dataValidations count="1">
    <dataValidation sqref="E2:E142" showDropDown="0" showInputMessage="0" showErrorMessage="0" allowBlank="1" errorTitle="Invalid Entry" error="Please select from the list" type="list">
      <formula1>"Not Started,Partial,Completed"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9" t="inlineStr">
        <is>
          <t>Phase</t>
        </is>
      </c>
      <c r="B1" s="9" t="inlineStr">
        <is>
          <t>Section</t>
        </is>
      </c>
      <c r="C1" s="9" t="inlineStr">
        <is>
          <t># Items</t>
        </is>
      </c>
      <c r="D1" s="9" t="inlineStr">
        <is>
          <t>Max Score</t>
        </is>
      </c>
      <c r="E1" s="9" t="inlineStr">
        <is>
          <t>Your Score</t>
        </is>
      </c>
      <c r="F1" s="9" t="inlineStr">
        <is>
          <t>Percentage</t>
        </is>
      </c>
      <c r="G1" s="9" t="inlineStr">
        <is>
          <t>Status</t>
        </is>
      </c>
    </row>
    <row r="2">
      <c r="A2" s="10" t="inlineStr">
        <is>
          <t>BEFORE</t>
        </is>
      </c>
      <c r="B2" s="10" t="inlineStr">
        <is>
          <t>1.1 Strategic Risk Assessment</t>
        </is>
      </c>
      <c r="C2" s="10" t="n">
        <v>6</v>
      </c>
      <c r="D2" s="10" t="n">
        <v>6</v>
      </c>
      <c r="E2" s="10">
        <f>SUMIF(Assessment!C:C,B2,Assessment!F:F)</f>
        <v/>
      </c>
      <c r="F2" s="10">
        <f>IF(D2&gt;0,E2/D2*100,0)</f>
        <v/>
      </c>
      <c r="G2" s="10">
        <f>IF(F2&gt;=90,"Exemplary",IF(F2&gt;=75,"Advanced",IF(F2&gt;=50,"Progressing",IF(F2&gt;=25,"Developing","Critical"))))</f>
        <v/>
      </c>
    </row>
    <row r="3">
      <c r="A3" s="10" t="inlineStr">
        <is>
          <t>BEFORE</t>
        </is>
      </c>
      <c r="B3" s="10" t="inlineStr">
        <is>
          <t>1.2 Risk Reduction - SPACE</t>
        </is>
      </c>
      <c r="C3" s="10" t="n">
        <v>8</v>
      </c>
      <c r="D3" s="10" t="n">
        <v>8</v>
      </c>
      <c r="E3" s="10">
        <f>SUMIF(Assessment!C:C,B3,Assessment!F:F)</f>
        <v/>
      </c>
      <c r="F3" s="10">
        <f>IF(D3&gt;0,E3/D3*100,0)</f>
        <v/>
      </c>
      <c r="G3" s="10">
        <f>IF(F3&gt;=90,"Exemplary",IF(F3&gt;=75,"Advanced",IF(F3&gt;=50,"Progressing",IF(F3&gt;=25,"Developing","Critical"))))</f>
        <v/>
      </c>
    </row>
    <row r="4">
      <c r="A4" s="10" t="inlineStr">
        <is>
          <t>BEFORE</t>
        </is>
      </c>
      <c r="B4" s="10" t="inlineStr">
        <is>
          <t>1.3 Risk Reduction - SYSTEMS</t>
        </is>
      </c>
      <c r="C4" s="10" t="n">
        <v>8</v>
      </c>
      <c r="D4" s="10" t="n">
        <v>8</v>
      </c>
      <c r="E4" s="10">
        <f>SUMIF(Assessment!C:C,B4,Assessment!F:F)</f>
        <v/>
      </c>
      <c r="F4" s="10">
        <f>IF(D4&gt;0,E4/D4*100,0)</f>
        <v/>
      </c>
      <c r="G4" s="10">
        <f>IF(F4&gt;=90,"Exemplary",IF(F4&gt;=75,"Advanced",IF(F4&gt;=50,"Progressing",IF(F4&gt;=25,"Developing","Critical"))))</f>
        <v/>
      </c>
    </row>
    <row r="5">
      <c r="A5" s="10" t="inlineStr">
        <is>
          <t>BEFORE</t>
        </is>
      </c>
      <c r="B5" s="10" t="inlineStr">
        <is>
          <t>1.4 Risk Reduction - STUFF</t>
        </is>
      </c>
      <c r="C5" s="10" t="n">
        <v>6</v>
      </c>
      <c r="D5" s="10" t="n">
        <v>6</v>
      </c>
      <c r="E5" s="10">
        <f>SUMIF(Assessment!C:C,B5,Assessment!F:F)</f>
        <v/>
      </c>
      <c r="F5" s="10">
        <f>IF(D5&gt;0,E5/D5*100,0)</f>
        <v/>
      </c>
      <c r="G5" s="10">
        <f>IF(F5&gt;=90,"Exemplary",IF(F5&gt;=75,"Advanced",IF(F5&gt;=50,"Progressing",IF(F5&gt;=25,"Developing","Critical"))))</f>
        <v/>
      </c>
    </row>
    <row r="6">
      <c r="A6" s="10" t="inlineStr">
        <is>
          <t>BEFORE</t>
        </is>
      </c>
      <c r="B6" s="10" t="inlineStr">
        <is>
          <t>1.5 Risk Reduction - STAFF</t>
        </is>
      </c>
      <c r="C6" s="10" t="n">
        <v>6</v>
      </c>
      <c r="D6" s="10" t="n">
        <v>6</v>
      </c>
      <c r="E6" s="10">
        <f>SUMIF(Assessment!C:C,B6,Assessment!F:F)</f>
        <v/>
      </c>
      <c r="F6" s="10">
        <f>IF(D6&gt;0,E6/D6*100,0)</f>
        <v/>
      </c>
      <c r="G6" s="10">
        <f>IF(F6&gt;=90,"Exemplary",IF(F6&gt;=75,"Advanced",IF(F6&gt;=50,"Progressing",IF(F6&gt;=25,"Developing","Critical"))))</f>
        <v/>
      </c>
    </row>
    <row r="7">
      <c r="A7" s="10" t="inlineStr">
        <is>
          <t>BEFORE</t>
        </is>
      </c>
      <c r="B7" s="10" t="inlineStr">
        <is>
          <t>1.6 Preparedness - SPACE</t>
        </is>
      </c>
      <c r="C7" s="10" t="n">
        <v>5</v>
      </c>
      <c r="D7" s="10" t="n">
        <v>5</v>
      </c>
      <c r="E7" s="10">
        <f>SUMIF(Assessment!C:C,B7,Assessment!F:F)</f>
        <v/>
      </c>
      <c r="F7" s="10">
        <f>IF(D7&gt;0,E7/D7*100,0)</f>
        <v/>
      </c>
      <c r="G7" s="10">
        <f>IF(F7&gt;=90,"Exemplary",IF(F7&gt;=75,"Advanced",IF(F7&gt;=50,"Progressing",IF(F7&gt;=25,"Developing","Critical"))))</f>
        <v/>
      </c>
    </row>
    <row r="8">
      <c r="A8" s="10" t="inlineStr">
        <is>
          <t>BEFORE</t>
        </is>
      </c>
      <c r="B8" s="10" t="inlineStr">
        <is>
          <t>1.7 Preparedness - STRATEGIES</t>
        </is>
      </c>
      <c r="C8" s="10" t="n">
        <v>12</v>
      </c>
      <c r="D8" s="10" t="n">
        <v>12</v>
      </c>
      <c r="E8" s="10">
        <f>SUMIF(Assessment!C:C,B8,Assessment!F:F)</f>
        <v/>
      </c>
      <c r="F8" s="10">
        <f>IF(D8&gt;0,E8/D8*100,0)</f>
        <v/>
      </c>
      <c r="G8" s="10">
        <f>IF(F8&gt;=90,"Exemplary",IF(F8&gt;=75,"Advanced",IF(F8&gt;=50,"Progressing",IF(F8&gt;=25,"Developing","Critical"))))</f>
        <v/>
      </c>
    </row>
    <row r="9">
      <c r="A9" s="10" t="inlineStr">
        <is>
          <t>BEFORE</t>
        </is>
      </c>
      <c r="B9" s="10" t="inlineStr">
        <is>
          <t>1.8 Preparedness - SYSTEMS</t>
        </is>
      </c>
      <c r="C9" s="10" t="n">
        <v>6</v>
      </c>
      <c r="D9" s="10" t="n">
        <v>6</v>
      </c>
      <c r="E9" s="10">
        <f>SUMIF(Assessment!C:C,B9,Assessment!F:F)</f>
        <v/>
      </c>
      <c r="F9" s="10">
        <f>IF(D9&gt;0,E9/D9*100,0)</f>
        <v/>
      </c>
      <c r="G9" s="10">
        <f>IF(F9&gt;=90,"Exemplary",IF(F9&gt;=75,"Advanced",IF(F9&gt;=50,"Progressing",IF(F9&gt;=25,"Developing","Critical"))))</f>
        <v/>
      </c>
    </row>
    <row r="10">
      <c r="A10" s="10" t="inlineStr">
        <is>
          <t>BEFORE</t>
        </is>
      </c>
      <c r="B10" s="10" t="inlineStr">
        <is>
          <t>1.9 Preparedness - STUFF</t>
        </is>
      </c>
      <c r="C10" s="10" t="n">
        <v>8</v>
      </c>
      <c r="D10" s="10" t="n">
        <v>8</v>
      </c>
      <c r="E10" s="10">
        <f>SUMIF(Assessment!C:C,B10,Assessment!F:F)</f>
        <v/>
      </c>
      <c r="F10" s="10">
        <f>IF(D10&gt;0,E10/D10*100,0)</f>
        <v/>
      </c>
      <c r="G10" s="10">
        <f>IF(F10&gt;=90,"Exemplary",IF(F10&gt;=75,"Advanced",IF(F10&gt;=50,"Progressing",IF(F10&gt;=25,"Developing","Critical"))))</f>
        <v/>
      </c>
    </row>
    <row r="11">
      <c r="A11" s="10" t="inlineStr">
        <is>
          <t>BEFORE</t>
        </is>
      </c>
      <c r="B11" s="10" t="inlineStr">
        <is>
          <t>1.10 Preparedness - STAFF</t>
        </is>
      </c>
      <c r="C11" s="10" t="n">
        <v>8</v>
      </c>
      <c r="D11" s="10" t="n">
        <v>8</v>
      </c>
      <c r="E11" s="10">
        <f>SUMIF(Assessment!C:C,B11,Assessment!F:F)</f>
        <v/>
      </c>
      <c r="F11" s="10">
        <f>IF(D11&gt;0,E11/D11*100,0)</f>
        <v/>
      </c>
      <c r="G11" s="10">
        <f>IF(F11&gt;=90,"Exemplary",IF(F11&gt;=75,"Advanced",IF(F11&gt;=50,"Progressing",IF(F11&gt;=25,"Developing","Critical"))))</f>
        <v/>
      </c>
    </row>
    <row r="12">
      <c r="A12" s="10" t="inlineStr">
        <is>
          <t>DURING</t>
        </is>
      </c>
      <c r="B12" s="10" t="inlineStr">
        <is>
          <t>2.1 Response - SPACE</t>
        </is>
      </c>
      <c r="C12" s="10" t="n">
        <v>4</v>
      </c>
      <c r="D12" s="10" t="n">
        <v>4</v>
      </c>
      <c r="E12" s="10">
        <f>SUMIF(Assessment!C:C,B12,Assessment!F:F)</f>
        <v/>
      </c>
      <c r="F12" s="10">
        <f>IF(D12&gt;0,E12/D12*100,0)</f>
        <v/>
      </c>
      <c r="G12" s="10">
        <f>IF(F12&gt;=90,"Exemplary",IF(F12&gt;=75,"Advanced",IF(F12&gt;=50,"Progressing",IF(F12&gt;=25,"Developing","Critical"))))</f>
        <v/>
      </c>
    </row>
    <row r="13">
      <c r="A13" s="10" t="inlineStr">
        <is>
          <t>DURING</t>
        </is>
      </c>
      <c r="B13" s="10" t="inlineStr">
        <is>
          <t>2.2 Response - STRATEGIES</t>
        </is>
      </c>
      <c r="C13" s="10" t="n">
        <v>8</v>
      </c>
      <c r="D13" s="10" t="n">
        <v>8</v>
      </c>
      <c r="E13" s="10">
        <f>SUMIF(Assessment!C:C,B13,Assessment!F:F)</f>
        <v/>
      </c>
      <c r="F13" s="10">
        <f>IF(D13&gt;0,E13/D13*100,0)</f>
        <v/>
      </c>
      <c r="G13" s="10">
        <f>IF(F13&gt;=90,"Exemplary",IF(F13&gt;=75,"Advanced",IF(F13&gt;=50,"Progressing",IF(F13&gt;=25,"Developing","Critical"))))</f>
        <v/>
      </c>
    </row>
    <row r="14">
      <c r="A14" s="10" t="inlineStr">
        <is>
          <t>DURING</t>
        </is>
      </c>
      <c r="B14" s="10" t="inlineStr">
        <is>
          <t>2.3 Response - SYSTEMS</t>
        </is>
      </c>
      <c r="C14" s="10" t="n">
        <v>8</v>
      </c>
      <c r="D14" s="10" t="n">
        <v>8</v>
      </c>
      <c r="E14" s="10">
        <f>SUMIF(Assessment!C:C,B14,Assessment!F:F)</f>
        <v/>
      </c>
      <c r="F14" s="10">
        <f>IF(D14&gt;0,E14/D14*100,0)</f>
        <v/>
      </c>
      <c r="G14" s="10">
        <f>IF(F14&gt;=90,"Exemplary",IF(F14&gt;=75,"Advanced",IF(F14&gt;=50,"Progressing",IF(F14&gt;=25,"Developing","Critical"))))</f>
        <v/>
      </c>
    </row>
    <row r="15">
      <c r="A15" s="10" t="inlineStr">
        <is>
          <t>DURING</t>
        </is>
      </c>
      <c r="B15" s="10" t="inlineStr">
        <is>
          <t>2.4 Response - STUFF</t>
        </is>
      </c>
      <c r="C15" s="10" t="n">
        <v>6</v>
      </c>
      <c r="D15" s="10" t="n">
        <v>6</v>
      </c>
      <c r="E15" s="10">
        <f>SUMIF(Assessment!C:C,B15,Assessment!F:F)</f>
        <v/>
      </c>
      <c r="F15" s="10">
        <f>IF(D15&gt;0,E15/D15*100,0)</f>
        <v/>
      </c>
      <c r="G15" s="10">
        <f>IF(F15&gt;=90,"Exemplary",IF(F15&gt;=75,"Advanced",IF(F15&gt;=50,"Progressing",IF(F15&gt;=25,"Developing","Critical"))))</f>
        <v/>
      </c>
    </row>
    <row r="16">
      <c r="A16" s="10" t="inlineStr">
        <is>
          <t>DURING</t>
        </is>
      </c>
      <c r="B16" s="10" t="inlineStr">
        <is>
          <t>2.5 Response - STAFF</t>
        </is>
      </c>
      <c r="C16" s="10" t="n">
        <v>6</v>
      </c>
      <c r="D16" s="10" t="n">
        <v>6</v>
      </c>
      <c r="E16" s="10">
        <f>SUMIF(Assessment!C:C,B16,Assessment!F:F)</f>
        <v/>
      </c>
      <c r="F16" s="10">
        <f>IF(D16&gt;0,E16/D16*100,0)</f>
        <v/>
      </c>
      <c r="G16" s="10">
        <f>IF(F16&gt;=90,"Exemplary",IF(F16&gt;=75,"Advanced",IF(F16&gt;=50,"Progressing",IF(F16&gt;=25,"Developing","Critical"))))</f>
        <v/>
      </c>
    </row>
    <row r="17">
      <c r="A17" s="10" t="inlineStr">
        <is>
          <t>AFTER</t>
        </is>
      </c>
      <c r="B17" s="10" t="inlineStr">
        <is>
          <t>3.1 Recovery - SPACE</t>
        </is>
      </c>
      <c r="C17" s="10" t="n">
        <v>4</v>
      </c>
      <c r="D17" s="10" t="n">
        <v>4</v>
      </c>
      <c r="E17" s="10">
        <f>SUMIF(Assessment!C:C,B17,Assessment!F:F)</f>
        <v/>
      </c>
      <c r="F17" s="10">
        <f>IF(D17&gt;0,E17/D17*100,0)</f>
        <v/>
      </c>
      <c r="G17" s="10">
        <f>IF(F17&gt;=90,"Exemplary",IF(F17&gt;=75,"Advanced",IF(F17&gt;=50,"Progressing",IF(F17&gt;=25,"Developing","Critical"))))</f>
        <v/>
      </c>
    </row>
    <row r="18">
      <c r="A18" s="10" t="inlineStr">
        <is>
          <t>AFTER</t>
        </is>
      </c>
      <c r="B18" s="10" t="inlineStr">
        <is>
          <t>3.2 Recovery - STRATEGIES</t>
        </is>
      </c>
      <c r="C18" s="10" t="n">
        <v>8</v>
      </c>
      <c r="D18" s="10" t="n">
        <v>8</v>
      </c>
      <c r="E18" s="10">
        <f>SUMIF(Assessment!C:C,B18,Assessment!F:F)</f>
        <v/>
      </c>
      <c r="F18" s="10">
        <f>IF(D18&gt;0,E18/D18*100,0)</f>
        <v/>
      </c>
      <c r="G18" s="10">
        <f>IF(F18&gt;=90,"Exemplary",IF(F18&gt;=75,"Advanced",IF(F18&gt;=50,"Progressing",IF(F18&gt;=25,"Developing","Critical"))))</f>
        <v/>
      </c>
    </row>
    <row r="19">
      <c r="A19" s="10" t="inlineStr">
        <is>
          <t>AFTER</t>
        </is>
      </c>
      <c r="B19" s="10" t="inlineStr">
        <is>
          <t>3.3 Recovery - SYSTEMS</t>
        </is>
      </c>
      <c r="C19" s="10" t="n">
        <v>6</v>
      </c>
      <c r="D19" s="10" t="n">
        <v>6</v>
      </c>
      <c r="E19" s="10">
        <f>SUMIF(Assessment!C:C,B19,Assessment!F:F)</f>
        <v/>
      </c>
      <c r="F19" s="10">
        <f>IF(D19&gt;0,E19/D19*100,0)</f>
        <v/>
      </c>
      <c r="G19" s="10">
        <f>IF(F19&gt;=90,"Exemplary",IF(F19&gt;=75,"Advanced",IF(F19&gt;=50,"Progressing",IF(F19&gt;=25,"Developing","Critical"))))</f>
        <v/>
      </c>
    </row>
    <row r="20">
      <c r="A20" s="10" t="inlineStr">
        <is>
          <t>AFTER</t>
        </is>
      </c>
      <c r="B20" s="10" t="inlineStr">
        <is>
          <t>3.4 Recovery - STUFF</t>
        </is>
      </c>
      <c r="C20" s="10" t="n">
        <v>4</v>
      </c>
      <c r="D20" s="10" t="n">
        <v>4</v>
      </c>
      <c r="E20" s="10">
        <f>SUMIF(Assessment!C:C,B20,Assessment!F:F)</f>
        <v/>
      </c>
      <c r="F20" s="10">
        <f>IF(D20&gt;0,E20/D20*100,0)</f>
        <v/>
      </c>
      <c r="G20" s="10">
        <f>IF(F20&gt;=90,"Exemplary",IF(F20&gt;=75,"Advanced",IF(F20&gt;=50,"Progressing",IF(F20&gt;=25,"Developing","Critical"))))</f>
        <v/>
      </c>
    </row>
    <row r="21">
      <c r="A21" s="10" t="inlineStr">
        <is>
          <t>AFTER</t>
        </is>
      </c>
      <c r="B21" s="10" t="inlineStr">
        <is>
          <t>3.5 Recovery - STAFF</t>
        </is>
      </c>
      <c r="C21" s="10" t="n">
        <v>6</v>
      </c>
      <c r="D21" s="10" t="n">
        <v>6</v>
      </c>
      <c r="E21" s="10">
        <f>SUMIF(Assessment!C:C,B21,Assessment!F:F)</f>
        <v/>
      </c>
      <c r="F21" s="10">
        <f>IF(D21&gt;0,E21/D21*100,0)</f>
        <v/>
      </c>
      <c r="G21" s="10">
        <f>IF(F21&gt;=90,"Exemplary",IF(F21&gt;=75,"Advanced",IF(F21&gt;=50,"Progressing",IF(F21&gt;=25,"Developing","Critical"))))</f>
        <v/>
      </c>
    </row>
    <row r="22">
      <c r="A22" s="10" t="inlineStr">
        <is>
          <t>AFTER</t>
        </is>
      </c>
      <c r="B22" s="10" t="inlineStr">
        <is>
          <t>3.6 After Action Review</t>
        </is>
      </c>
      <c r="C22" s="10" t="n">
        <v>8</v>
      </c>
      <c r="D22" s="10" t="n">
        <v>8</v>
      </c>
      <c r="E22" s="10">
        <f>SUMIF(Assessment!C:C,B22,Assessment!F:F)</f>
        <v/>
      </c>
      <c r="F22" s="10">
        <f>IF(D22&gt;0,E22/D22*100,0)</f>
        <v/>
      </c>
      <c r="G22" s="10">
        <f>IF(F22&gt;=90,"Exemplary",IF(F22&gt;=75,"Advanced",IF(F22&gt;=50,"Progressing",IF(F22&gt;=25,"Developing","Critical"))))</f>
        <v/>
      </c>
    </row>
    <row r="23">
      <c r="A23" s="11" t="inlineStr">
        <is>
          <t>TOTAL</t>
        </is>
      </c>
      <c r="B23" s="11" t="inlineStr"/>
      <c r="C23" s="11">
        <f>SUM(C2:C22)</f>
        <v/>
      </c>
      <c r="D23" s="11">
        <f>SUM(D2:D22)</f>
        <v/>
      </c>
      <c r="E23" s="11">
        <f>SUM(E2:E22)</f>
        <v/>
      </c>
      <c r="F23" s="11">
        <f>IF(D23&gt;0,E23/D23*100,0)</f>
        <v/>
      </c>
      <c r="G23" s="11">
        <f>IF(F23&gt;=90,"Exemplary",IF(F23&gt;=75,"Advanced",IF(F23&gt;=50,"Progressing",IF(F23&gt;=25,"Developing","Critical"))))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2026-01-15T08:45:39Z</dcterms:created>
  <dcterms:modified xmlns:dcterms="http://purl.org/dc/terms/" xmlns:xsi="http://www.w3.org/2001/XMLSchema-instance" xsi:type="dcterms:W3CDTF">2026-01-15T08:45:39Z</dcterms:modified>
</cp:coreProperties>
</file>